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3840" yWindow="2652" windowWidth="15408" windowHeight="8712" tabRatio="708" firstSheet="6" activeTab="7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6" i="10" l="1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E95" i="10"/>
  <c r="D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E61" i="10"/>
  <c r="D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1" i="10"/>
  <c r="D16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4" i="10"/>
  <c r="D5" i="10"/>
  <c r="D6" i="10"/>
  <c r="D7" i="10"/>
  <c r="D8" i="10"/>
  <c r="D9" i="10"/>
  <c r="D10" i="10"/>
  <c r="D11" i="10"/>
  <c r="D12" i="10"/>
  <c r="D13" i="10"/>
  <c r="D14" i="10"/>
  <c r="D15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<sst xmlns="http://schemas.openxmlformats.org/spreadsheetml/2006/main" count="823" uniqueCount="224">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</sst>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topLeftCell="E36" workbookViewId="0">
      <selection activeCell="B5" sqref="B5:D5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topLeftCell="D67" workbookViewId="0">
      <selection activeCell="B4" sqref="B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topLeftCell="A52" workbookViewId="0">
      <selection activeCell="C4" sqref="C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15"/>
  <sheetViews>
    <sheetView tabSelected="1" topLeftCell="A77" workbookViewId="0">
      <selection activeCell="C88" sqref="C88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23.33203125" style="2" customWidth="1"/>
    <col min="4" max="4" width="14.109375" style="30" bestFit="1" customWidth="1"/>
    <col min="5" max="5" width="21.109375" style="2" bestFit="1" customWidth="1"/>
    <col min="6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31" t="s">
        <v>115</v>
      </c>
      <c r="C3" s="31" t="s">
        <v>99</v>
      </c>
      <c r="D3" s="32" t="s">
        <v>31</v>
      </c>
      <c r="E3" s="31" t="s">
        <v>100</v>
      </c>
      <c r="F3" s="32" t="s">
        <v>221</v>
      </c>
      <c r="G3" s="32" t="s">
        <v>222</v>
      </c>
      <c r="H3" s="32" t="s">
        <v>223</v>
      </c>
    </row>
    <row r="4" spans="2:8" x14ac:dyDescent="0.2">
      <c r="B4" s="2" t="s">
        <v>116</v>
      </c>
      <c r="C4" s="2" t="str">
        <f>+VLOOKUP($B4,'1.1 FY2016'!$B$5:$E$61,2,FALSE)</f>
        <v>Core business revenues</v>
      </c>
      <c r="D4" s="30">
        <f>+VLOOKUP($B4,'1.1 FY2016'!$B$5:$E$61,3,FALSE)</f>
        <v>111111</v>
      </c>
      <c r="E4" s="2" t="str">
        <f>+VLOOKUP($B4,'1.1 FY2016'!$B$5:$E$61,4,FALSE)</f>
        <v>External</v>
      </c>
      <c r="F4" s="30"/>
      <c r="G4" s="30"/>
      <c r="H4" s="30"/>
    </row>
    <row r="5" spans="2:8" x14ac:dyDescent="0.2">
      <c r="B5" s="2" t="s">
        <v>117</v>
      </c>
      <c r="C5" s="2" t="str">
        <f>+VLOOKUP($B5,'1.1 FY2016'!$B$5:$E$61,2,FALSE)</f>
        <v>Other revenues</v>
      </c>
      <c r="D5" s="30">
        <f>+VLOOKUP($B5,'1.1 FY2016'!$B$5:$E$61,3,FALSE)</f>
        <v>111111</v>
      </c>
      <c r="E5" s="2" t="str">
        <f>+VLOOKUP($B5,'1.1 FY2016'!$B$5:$E$61,4,FALSE)</f>
        <v>External</v>
      </c>
    </row>
    <row r="6" spans="2:8" x14ac:dyDescent="0.2">
      <c r="B6" s="2" t="s">
        <v>118</v>
      </c>
      <c r="C6" s="2" t="str">
        <f>+VLOOKUP($B6,'1.1 FY2016'!$B$5:$E$61,2,FALSE)</f>
        <v>Capitalized costs</v>
      </c>
      <c r="D6" s="30">
        <f>+VLOOKUP($B6,'1.1 FY2016'!$B$5:$E$61,3,FALSE)</f>
        <v>1009</v>
      </c>
      <c r="E6" s="2" t="str">
        <f>+VLOOKUP($B6,'1.1 FY2016'!$B$5:$E$61,4,FALSE)</f>
        <v>Green Ventures Ltd</v>
      </c>
    </row>
    <row r="7" spans="2:8" x14ac:dyDescent="0.2">
      <c r="B7" s="2" t="s">
        <v>119</v>
      </c>
      <c r="C7" s="2" t="str">
        <f>+VLOOKUP($B7,'1.1 FY2016'!$B$5:$E$61,2,FALSE)</f>
        <v>Capitalized costs</v>
      </c>
      <c r="D7" s="30">
        <f>+VLOOKUP($B7,'1.1 FY2016'!$B$5:$E$61,3,FALSE)</f>
        <v>1007</v>
      </c>
      <c r="E7" s="2" t="str">
        <f>+VLOOKUP($B7,'1.1 FY2016'!$B$5:$E$61,4,FALSE)</f>
        <v>Generco Sunshine JSC</v>
      </c>
    </row>
    <row r="8" spans="2:8" x14ac:dyDescent="0.2">
      <c r="B8" s="2" t="s">
        <v>120</v>
      </c>
      <c r="C8" s="2" t="str">
        <f>+VLOOKUP($B8,'1.1 FY2016'!$B$5:$E$61,2,FALSE)</f>
        <v>Capitalized costs</v>
      </c>
      <c r="D8" s="30">
        <f>+VLOOKUP($B8,'1.1 FY2016'!$B$5:$E$61,3,FALSE)</f>
        <v>1008</v>
      </c>
      <c r="E8" s="2" t="str">
        <f>+VLOOKUP($B8,'1.1 FY2016'!$B$5:$E$61,4,FALSE)</f>
        <v>Greenco Ltd</v>
      </c>
    </row>
    <row r="9" spans="2:8" x14ac:dyDescent="0.2">
      <c r="B9" s="2" t="s">
        <v>121</v>
      </c>
      <c r="C9" s="2" t="str">
        <f>+VLOOKUP($B9,'1.1 FY2016'!$B$5:$E$61,2,FALSE)</f>
        <v>Capitalized costs</v>
      </c>
      <c r="D9" s="30">
        <f>+VLOOKUP($B9,'1.1 FY2016'!$B$5:$E$61,3,FALSE)</f>
        <v>111101</v>
      </c>
      <c r="E9" s="2" t="str">
        <f>+VLOOKUP($B9,'1.1 FY2016'!$B$5:$E$61,4,FALSE)</f>
        <v>Not assigned</v>
      </c>
    </row>
    <row r="10" spans="2:8" x14ac:dyDescent="0.2">
      <c r="B10" s="2" t="s">
        <v>122</v>
      </c>
      <c r="C10" s="2" t="str">
        <f>+VLOOKUP($B10,'1.1 FY2016'!$B$5:$E$61,2,FALSE)</f>
        <v>Direct costs</v>
      </c>
      <c r="D10" s="30">
        <f>+VLOOKUP($B10,'1.1 FY2016'!$B$5:$E$61,3,FALSE)</f>
        <v>111111</v>
      </c>
      <c r="E10" s="2" t="str">
        <f>+VLOOKUP($B10,'1.1 FY2016'!$B$5:$E$61,4,FALSE)</f>
        <v>External</v>
      </c>
    </row>
    <row r="11" spans="2:8" x14ac:dyDescent="0.2">
      <c r="B11" s="2" t="s">
        <v>123</v>
      </c>
      <c r="C11" s="2" t="str">
        <f>+VLOOKUP($B11,'1.1 FY2016'!$B$5:$E$61,2,FALSE)</f>
        <v>Freight outbound expenses</v>
      </c>
      <c r="D11" s="30">
        <f>+VLOOKUP($B11,'1.1 FY2016'!$B$5:$E$61,3,FALSE)</f>
        <v>111111</v>
      </c>
      <c r="E11" s="2" t="str">
        <f>+VLOOKUP($B11,'1.1 FY2016'!$B$5:$E$61,4,FALSE)</f>
        <v>External</v>
      </c>
    </row>
    <row r="12" spans="2:8" x14ac:dyDescent="0.2">
      <c r="B12" s="2" t="s">
        <v>124</v>
      </c>
      <c r="C12" s="2" t="str">
        <f>+VLOOKUP($B12,'1.1 FY2016'!$B$5:$E$61,2,FALSE)</f>
        <v>R&amp;D expenses</v>
      </c>
      <c r="D12" s="30">
        <f>+VLOOKUP($B12,'1.1 FY2016'!$B$5:$E$61,3,FALSE)</f>
        <v>88</v>
      </c>
      <c r="E12" s="2" t="str">
        <f>+VLOOKUP($B12,'1.1 FY2016'!$B$5:$E$61,4,FALSE)</f>
        <v>Generco Ltd</v>
      </c>
    </row>
    <row r="13" spans="2:8" x14ac:dyDescent="0.2">
      <c r="B13" s="2" t="s">
        <v>125</v>
      </c>
      <c r="C13" s="2" t="str">
        <f>+VLOOKUP($B13,'1.1 FY2016'!$B$5:$E$61,2,FALSE)</f>
        <v>R&amp;D expenses</v>
      </c>
      <c r="D13" s="30">
        <f>+VLOOKUP($B13,'1.1 FY2016'!$B$5:$E$61,3,FALSE)</f>
        <v>111111</v>
      </c>
      <c r="E13" s="2" t="str">
        <f>+VLOOKUP($B13,'1.1 FY2016'!$B$5:$E$61,4,FALSE)</f>
        <v>External</v>
      </c>
    </row>
    <row r="14" spans="2:8" x14ac:dyDescent="0.2">
      <c r="B14" s="2" t="s">
        <v>126</v>
      </c>
      <c r="C14" s="2" t="str">
        <f>+VLOOKUP($B14,'1.1 FY2016'!$B$5:$E$61,2,FALSE)</f>
        <v>Wages and salaries</v>
      </c>
      <c r="D14" s="30">
        <f>+VLOOKUP($B14,'1.1 FY2016'!$B$5:$E$61,3,FALSE)</f>
        <v>111111</v>
      </c>
      <c r="E14" s="2" t="str">
        <f>+VLOOKUP($B14,'1.1 FY2016'!$B$5:$E$61,4,FALSE)</f>
        <v>External</v>
      </c>
    </row>
    <row r="15" spans="2:8" x14ac:dyDescent="0.2">
      <c r="B15" s="2" t="s">
        <v>127</v>
      </c>
      <c r="C15" s="2" t="str">
        <f>+VLOOKUP($B15,'1.1 FY2016'!$B$5:$E$61,2,FALSE)</f>
        <v>Pension contributions</v>
      </c>
      <c r="D15" s="30">
        <f>+VLOOKUP($B15,'1.1 FY2016'!$B$5:$E$61,3,FALSE)</f>
        <v>111101</v>
      </c>
      <c r="E15" s="2" t="str">
        <f>+VLOOKUP($B15,'1.1 FY2016'!$B$5:$E$61,4,FALSE)</f>
        <v>Not assigned</v>
      </c>
    </row>
    <row r="16" spans="2:8" x14ac:dyDescent="0.2">
      <c r="B16" s="2" t="s">
        <v>128</v>
      </c>
      <c r="C16" s="2" t="str">
        <f>+VLOOKUP($B16,'1.1 FY2016'!$B$5:$E$61,2,FALSE)</f>
        <v>Pension contributions</v>
      </c>
      <c r="D16" s="30">
        <f>+VLOOKUP($B16,'1.1 FY2016'!$B$5:$E$61,3,FALSE)</f>
        <v>88</v>
      </c>
      <c r="E16" s="2" t="str">
        <f>+VLOOKUP($B16,'1.1 FY2016'!$B$5:$E$61,4,FALSE)</f>
        <v>Generco Ltd</v>
      </c>
    </row>
    <row r="17" spans="2:5" x14ac:dyDescent="0.2">
      <c r="B17" s="2" t="s">
        <v>129</v>
      </c>
      <c r="C17" s="2" t="str">
        <f>+VLOOKUP($B17,'1.1 FY2016'!$B$5:$E$61,2,FALSE)</f>
        <v>Severance indemnity contribution</v>
      </c>
      <c r="D17" s="30">
        <f>+VLOOKUP($B17,'1.1 FY2016'!$B$5:$E$61,3,FALSE)</f>
        <v>111101</v>
      </c>
      <c r="E17" s="2" t="str">
        <f>+VLOOKUP($B17,'1.1 FY2016'!$B$5:$E$61,4,FALSE)</f>
        <v>Not assigned</v>
      </c>
    </row>
    <row r="18" spans="2:5" x14ac:dyDescent="0.2">
      <c r="B18" s="2" t="s">
        <v>130</v>
      </c>
      <c r="C18" s="2" t="str">
        <f>+VLOOKUP($B18,'1.1 FY2016'!$B$5:$E$61,2,FALSE)</f>
        <v>D&amp;A</v>
      </c>
      <c r="D18" s="30">
        <f>+VLOOKUP($B18,'1.1 FY2016'!$B$5:$E$61,3,FALSE)</f>
        <v>111101</v>
      </c>
      <c r="E18" s="2" t="str">
        <f>+VLOOKUP($B18,'1.1 FY2016'!$B$5:$E$61,4,FALSE)</f>
        <v>Not assigned</v>
      </c>
    </row>
    <row r="19" spans="2:5" x14ac:dyDescent="0.2">
      <c r="B19" s="2" t="s">
        <v>131</v>
      </c>
      <c r="C19" s="2" t="str">
        <f>+VLOOKUP($B19,'1.1 FY2016'!$B$5:$E$61,2,FALSE)</f>
        <v>D&amp;A</v>
      </c>
      <c r="D19" s="30">
        <f>+VLOOKUP($B19,'1.1 FY2016'!$B$5:$E$61,3,FALSE)</f>
        <v>1</v>
      </c>
      <c r="E19" s="2" t="str">
        <f>+VLOOKUP($B19,'1.1 FY2016'!$B$5:$E$61,4,FALSE)</f>
        <v>Not assigned</v>
      </c>
    </row>
    <row r="20" spans="2:5" x14ac:dyDescent="0.2">
      <c r="B20" s="2" t="s">
        <v>132</v>
      </c>
      <c r="C20" s="2" t="str">
        <f>+VLOOKUP($B20,'1.1 FY2016'!$B$5:$E$61,2,FALSE)</f>
        <v>Corporate recharges</v>
      </c>
      <c r="D20" s="30" t="str">
        <f>+VLOOKUP($B20,'1.1 FY2016'!$B$5:$E$61,3,FALSE)</f>
        <v>1</v>
      </c>
      <c r="E20" s="2" t="str">
        <f>+VLOOKUP($B20,'1.1 FY2016'!$B$5:$E$61,4,FALSE)</f>
        <v>Greeny Ltd</v>
      </c>
    </row>
    <row r="21" spans="2:5" x14ac:dyDescent="0.2">
      <c r="B21" s="2" t="s">
        <v>133</v>
      </c>
      <c r="C21" s="2" t="str">
        <f>+VLOOKUP($B21,'1.1 FY2016'!$B$5:$E$61,2,FALSE)</f>
        <v>Corporate recharges</v>
      </c>
      <c r="D21" s="30">
        <f>+VLOOKUP($B21,'1.1 FY2016'!$B$5:$E$61,3,FALSE)</f>
        <v>14</v>
      </c>
      <c r="E21" s="2" t="str">
        <f>+VLOOKUP($B21,'1.1 FY2016'!$B$5:$E$61,4,FALSE)</f>
        <v>Generco Cosmetics Ltd</v>
      </c>
    </row>
    <row r="22" spans="2:5" x14ac:dyDescent="0.2">
      <c r="B22" s="2" t="s">
        <v>134</v>
      </c>
      <c r="C22" s="2" t="str">
        <f>+VLOOKUP($B22,'1.1 FY2016'!$B$5:$E$61,2,FALSE)</f>
        <v>Corporate recharges</v>
      </c>
      <c r="D22" s="30">
        <f>+VLOOKUP($B22,'1.1 FY2016'!$B$5:$E$61,3,FALSE)</f>
        <v>1037</v>
      </c>
      <c r="E22" s="2" t="str">
        <f>+VLOOKUP($B22,'1.1 FY2016'!$B$5:$E$61,4,FALSE)</f>
        <v>Generco Canada JSC</v>
      </c>
    </row>
    <row r="23" spans="2:5" x14ac:dyDescent="0.2">
      <c r="B23" s="2" t="s">
        <v>135</v>
      </c>
      <c r="C23" s="2" t="str">
        <f>+VLOOKUP($B23,'1.1 FY2016'!$B$5:$E$61,2,FALSE)</f>
        <v>Corporate recharges</v>
      </c>
      <c r="D23" s="30" t="str">
        <f>+VLOOKUP($B23,'1.1 FY2016'!$B$5:$E$61,3,FALSE)</f>
        <v>1087</v>
      </c>
      <c r="E23" s="2" t="str">
        <f>+VLOOKUP($B23,'1.1 FY2016'!$B$5:$E$61,4,FALSE)</f>
        <v>Gener Beauty GmbH</v>
      </c>
    </row>
    <row r="24" spans="2:5" x14ac:dyDescent="0.2">
      <c r="B24" s="2" t="s">
        <v>136</v>
      </c>
      <c r="C24" s="2" t="str">
        <f>+VLOOKUP($B24,'1.1 FY2016'!$B$5:$E$61,2,FALSE)</f>
        <v>Corporate recharges</v>
      </c>
      <c r="D24" s="30">
        <f>+VLOOKUP($B24,'1.1 FY2016'!$B$5:$E$61,3,FALSE)</f>
        <v>1009</v>
      </c>
      <c r="E24" s="2" t="str">
        <f>+VLOOKUP($B24,'1.1 FY2016'!$B$5:$E$61,4,FALSE)</f>
        <v>Green Ventures Ltd</v>
      </c>
    </row>
    <row r="25" spans="2:5" x14ac:dyDescent="0.2">
      <c r="B25" s="2" t="s">
        <v>137</v>
      </c>
      <c r="C25" s="2" t="str">
        <f>+VLOOKUP($B25,'1.1 FY2016'!$B$5:$E$61,2,FALSE)</f>
        <v>Corporate recharges</v>
      </c>
      <c r="D25" s="30">
        <f>+VLOOKUP($B25,'1.1 FY2016'!$B$5:$E$61,3,FALSE)</f>
        <v>1007</v>
      </c>
      <c r="E25" s="2" t="str">
        <f>+VLOOKUP($B25,'1.1 FY2016'!$B$5:$E$61,4,FALSE)</f>
        <v>Generco Sunshine JSC</v>
      </c>
    </row>
    <row r="26" spans="2:5" x14ac:dyDescent="0.2">
      <c r="B26" s="2" t="s">
        <v>138</v>
      </c>
      <c r="C26" s="2" t="str">
        <f>+VLOOKUP($B26,'1.1 FY2016'!$B$5:$E$61,2,FALSE)</f>
        <v>Corporate recharges</v>
      </c>
      <c r="D26" s="30">
        <f>+VLOOKUP($B26,'1.1 FY2016'!$B$5:$E$61,3,FALSE)</f>
        <v>1008</v>
      </c>
      <c r="E26" s="2" t="str">
        <f>+VLOOKUP($B26,'1.1 FY2016'!$B$5:$E$61,4,FALSE)</f>
        <v>Greenco Ltd</v>
      </c>
    </row>
    <row r="27" spans="2:5" x14ac:dyDescent="0.2">
      <c r="B27" s="2" t="s">
        <v>139</v>
      </c>
      <c r="C27" s="2" t="str">
        <f>+VLOOKUP($B27,'1.1 FY2016'!$B$5:$E$61,2,FALSE)</f>
        <v>Corporate recharges</v>
      </c>
      <c r="D27" s="30">
        <f>+VLOOKUP($B27,'1.1 FY2016'!$B$5:$E$61,3,FALSE)</f>
        <v>1240</v>
      </c>
      <c r="E27" s="2" t="str">
        <f>+VLOOKUP($B27,'1.1 FY2016'!$B$5:$E$61,4,FALSE)</f>
        <v xml:space="preserve">Generco UK </v>
      </c>
    </row>
    <row r="28" spans="2:5" x14ac:dyDescent="0.2">
      <c r="B28" s="2" t="s">
        <v>140</v>
      </c>
      <c r="C28" s="2" t="str">
        <f>+VLOOKUP($B28,'1.1 FY2016'!$B$5:$E$61,2,FALSE)</f>
        <v>Corporate recharges</v>
      </c>
      <c r="D28" s="30">
        <f>+VLOOKUP($B28,'1.1 FY2016'!$B$5:$E$61,3,FALSE)</f>
        <v>111111</v>
      </c>
      <c r="E28" s="2" t="str">
        <f>+VLOOKUP($B28,'1.1 FY2016'!$B$5:$E$61,4,FALSE)</f>
        <v>External</v>
      </c>
    </row>
    <row r="29" spans="2:5" x14ac:dyDescent="0.2">
      <c r="B29" s="2" t="s">
        <v>141</v>
      </c>
      <c r="C29" s="2" t="str">
        <f>+VLOOKUP($B29,'1.1 FY2016'!$B$5:$E$61,2,FALSE)</f>
        <v>Other income</v>
      </c>
      <c r="D29" s="30">
        <f>+VLOOKUP($B29,'1.1 FY2016'!$B$5:$E$61,3,FALSE)</f>
        <v>111111</v>
      </c>
      <c r="E29" s="2" t="str">
        <f>+VLOOKUP($B29,'1.1 FY2016'!$B$5:$E$61,4,FALSE)</f>
        <v>External</v>
      </c>
    </row>
    <row r="30" spans="2:5" x14ac:dyDescent="0.2">
      <c r="B30" s="2" t="s">
        <v>142</v>
      </c>
      <c r="C30" s="2" t="str">
        <f>+VLOOKUP($B30,'1.1 FY2016'!$B$5:$E$61,2,FALSE)</f>
        <v>Marketing expenses</v>
      </c>
      <c r="D30" s="30">
        <f>+VLOOKUP($B30,'1.1 FY2016'!$B$5:$E$61,3,FALSE)</f>
        <v>111111</v>
      </c>
      <c r="E30" s="2" t="str">
        <f>+VLOOKUP($B30,'1.1 FY2016'!$B$5:$E$61,4,FALSE)</f>
        <v>External</v>
      </c>
    </row>
    <row r="31" spans="2:5" x14ac:dyDescent="0.2">
      <c r="B31" s="2" t="s">
        <v>143</v>
      </c>
      <c r="C31" s="2" t="str">
        <f>+VLOOKUP($B31,'1.1 FY2016'!$B$5:$E$61,2,FALSE)</f>
        <v>Software&amp;IT</v>
      </c>
      <c r="D31" s="30">
        <f>+VLOOKUP($B31,'1.1 FY2016'!$B$5:$E$61,3,FALSE)</f>
        <v>88</v>
      </c>
      <c r="E31" s="2" t="str">
        <f>+VLOOKUP($B31,'1.1 FY2016'!$B$5:$E$61,4,FALSE)</f>
        <v>Generco Ltd</v>
      </c>
    </row>
    <row r="32" spans="2:5" x14ac:dyDescent="0.2">
      <c r="B32" s="2" t="s">
        <v>144</v>
      </c>
      <c r="C32" s="2" t="str">
        <f>+VLOOKUP($B32,'1.1 FY2016'!$B$5:$E$61,2,FALSE)</f>
        <v>Software&amp;IT</v>
      </c>
      <c r="D32" s="30">
        <f>+VLOOKUP($B32,'1.1 FY2016'!$B$5:$E$61,3,FALSE)</f>
        <v>111111</v>
      </c>
      <c r="E32" s="2" t="str">
        <f>+VLOOKUP($B32,'1.1 FY2016'!$B$5:$E$61,4,FALSE)</f>
        <v>External</v>
      </c>
    </row>
    <row r="33" spans="2:5" x14ac:dyDescent="0.2">
      <c r="B33" s="2" t="s">
        <v>145</v>
      </c>
      <c r="C33" s="2" t="str">
        <f>+VLOOKUP($B33,'1.1 FY2016'!$B$5:$E$61,2,FALSE)</f>
        <v>Leasings</v>
      </c>
      <c r="D33" s="30">
        <f>+VLOOKUP($B33,'1.1 FY2016'!$B$5:$E$61,3,FALSE)</f>
        <v>111111</v>
      </c>
      <c r="E33" s="2" t="str">
        <f>+VLOOKUP($B33,'1.1 FY2016'!$B$5:$E$61,4,FALSE)</f>
        <v>External</v>
      </c>
    </row>
    <row r="34" spans="2:5" x14ac:dyDescent="0.2">
      <c r="B34" s="2" t="s">
        <v>146</v>
      </c>
      <c r="C34" s="2" t="str">
        <f>+VLOOKUP($B34,'1.1 FY2016'!$B$5:$E$61,2,FALSE)</f>
        <v>Service expenses</v>
      </c>
      <c r="D34" s="30" t="str">
        <f>+VLOOKUP($B34,'1.1 FY2016'!$B$5:$E$61,3,FALSE)</f>
        <v>43</v>
      </c>
      <c r="E34" s="2" t="str">
        <f>+VLOOKUP($B34,'1.1 FY2016'!$B$5:$E$61,4,FALSE)</f>
        <v>Greeny France SL</v>
      </c>
    </row>
    <row r="35" spans="2:5" x14ac:dyDescent="0.2">
      <c r="B35" s="2" t="s">
        <v>147</v>
      </c>
      <c r="C35" s="2" t="str">
        <f>+VLOOKUP($B35,'1.1 FY2016'!$B$5:$E$61,2,FALSE)</f>
        <v>Service expenses</v>
      </c>
      <c r="D35" s="30" t="str">
        <f>+VLOOKUP($B35,'1.1 FY2016'!$B$5:$E$61,3,FALSE)</f>
        <v>2240</v>
      </c>
      <c r="E35" s="2" t="str">
        <f>+VLOOKUP($B35,'1.1 FY2016'!$B$5:$E$61,4,FALSE)</f>
        <v>Greeny Germany GmbH</v>
      </c>
    </row>
    <row r="36" spans="2:5" x14ac:dyDescent="0.2">
      <c r="B36" s="2" t="s">
        <v>148</v>
      </c>
      <c r="C36" s="2" t="str">
        <f>+VLOOKUP($B36,'1.1 FY2016'!$B$5:$E$61,2,FALSE)</f>
        <v>Service expenses</v>
      </c>
      <c r="D36" s="30">
        <f>+VLOOKUP($B36,'1.1 FY2016'!$B$5:$E$61,3,FALSE)</f>
        <v>111111</v>
      </c>
      <c r="E36" s="2" t="str">
        <f>+VLOOKUP($B36,'1.1 FY2016'!$B$5:$E$61,4,FALSE)</f>
        <v>External</v>
      </c>
    </row>
    <row r="37" spans="2:5" x14ac:dyDescent="0.2">
      <c r="B37" s="2" t="s">
        <v>149</v>
      </c>
      <c r="C37" s="2" t="str">
        <f>+VLOOKUP($B37,'1.1 FY2016'!$B$5:$E$61,2,FALSE)</f>
        <v>Charges and contributions</v>
      </c>
      <c r="D37" s="30">
        <f>+VLOOKUP($B37,'1.1 FY2016'!$B$5:$E$61,3,FALSE)</f>
        <v>111111</v>
      </c>
      <c r="E37" s="2" t="str">
        <f>+VLOOKUP($B37,'1.1 FY2016'!$B$5:$E$61,4,FALSE)</f>
        <v>External</v>
      </c>
    </row>
    <row r="38" spans="2:5" x14ac:dyDescent="0.2">
      <c r="B38" s="2" t="s">
        <v>150</v>
      </c>
      <c r="C38" s="2" t="str">
        <f>+VLOOKUP($B38,'1.1 FY2016'!$B$5:$E$61,2,FALSE)</f>
        <v>Insurance expenses</v>
      </c>
      <c r="D38" s="30">
        <f>+VLOOKUP($B38,'1.1 FY2016'!$B$5:$E$61,3,FALSE)</f>
        <v>111111</v>
      </c>
      <c r="E38" s="2" t="str">
        <f>+VLOOKUP($B38,'1.1 FY2016'!$B$5:$E$61,4,FALSE)</f>
        <v>External</v>
      </c>
    </row>
    <row r="39" spans="2:5" x14ac:dyDescent="0.2">
      <c r="B39" s="2" t="s">
        <v>151</v>
      </c>
      <c r="C39" s="2" t="str">
        <f>+VLOOKUP($B39,'1.1 FY2016'!$B$5:$E$61,2,FALSE)</f>
        <v>Travel expenses</v>
      </c>
      <c r="D39" s="30">
        <f>+VLOOKUP($B39,'1.1 FY2016'!$B$5:$E$61,3,FALSE)</f>
        <v>111111</v>
      </c>
      <c r="E39" s="2" t="str">
        <f>+VLOOKUP($B39,'1.1 FY2016'!$B$5:$E$61,4,FALSE)</f>
        <v>External</v>
      </c>
    </row>
    <row r="40" spans="2:5" x14ac:dyDescent="0.2">
      <c r="B40" s="2" t="s">
        <v>152</v>
      </c>
      <c r="C40" s="2" t="str">
        <f>+VLOOKUP($B40,'1.1 FY2016'!$B$5:$E$61,2,FALSE)</f>
        <v>Utility expenses</v>
      </c>
      <c r="D40" s="30">
        <f>+VLOOKUP($B40,'1.1 FY2016'!$B$5:$E$61,3,FALSE)</f>
        <v>111111</v>
      </c>
      <c r="E40" s="2" t="str">
        <f>+VLOOKUP($B40,'1.1 FY2016'!$B$5:$E$61,4,FALSE)</f>
        <v>External</v>
      </c>
    </row>
    <row r="41" spans="2:5" x14ac:dyDescent="0.2">
      <c r="B41" s="2" t="s">
        <v>153</v>
      </c>
      <c r="C41" s="2" t="str">
        <f>+VLOOKUP($B41,'1.1 FY2016'!$B$5:$E$61,2,FALSE)</f>
        <v>Legal expenses</v>
      </c>
      <c r="D41" s="30">
        <f>+VLOOKUP($B41,'1.1 FY2016'!$B$5:$E$61,3,FALSE)</f>
        <v>111111</v>
      </c>
      <c r="E41" s="2" t="str">
        <f>+VLOOKUP($B41,'1.1 FY2016'!$B$5:$E$61,4,FALSE)</f>
        <v>External</v>
      </c>
    </row>
    <row r="42" spans="2:5" x14ac:dyDescent="0.2">
      <c r="B42" s="2" t="s">
        <v>154</v>
      </c>
      <c r="C42" s="2" t="str">
        <f>+VLOOKUP($B42,'1.1 FY2016'!$B$5:$E$61,2,FALSE)</f>
        <v>Misc costs</v>
      </c>
      <c r="D42" s="30">
        <f>+VLOOKUP($B42,'1.1 FY2016'!$B$5:$E$61,3,FALSE)</f>
        <v>111101</v>
      </c>
      <c r="E42" s="2" t="str">
        <f>+VLOOKUP($B42,'1.1 FY2016'!$B$5:$E$61,4,FALSE)</f>
        <v>Not assigned</v>
      </c>
    </row>
    <row r="43" spans="2:5" x14ac:dyDescent="0.2">
      <c r="B43" s="2" t="s">
        <v>155</v>
      </c>
      <c r="C43" s="2" t="str">
        <f>+VLOOKUP($B43,'1.1 FY2016'!$B$5:$E$61,2,FALSE)</f>
        <v>Consulting fees</v>
      </c>
      <c r="D43" s="30">
        <f>+VLOOKUP($B43,'1.1 FY2016'!$B$5:$E$61,3,FALSE)</f>
        <v>111111</v>
      </c>
      <c r="E43" s="2" t="str">
        <f>+VLOOKUP($B43,'1.1 FY2016'!$B$5:$E$61,4,FALSE)</f>
        <v>External</v>
      </c>
    </row>
    <row r="44" spans="2:5" x14ac:dyDescent="0.2">
      <c r="B44" s="2" t="s">
        <v>156</v>
      </c>
      <c r="C44" s="2" t="str">
        <f>+VLOOKUP($B44,'1.1 FY2016'!$B$5:$E$61,2,FALSE)</f>
        <v>Misc extraordinary expenses</v>
      </c>
      <c r="D44" s="30">
        <f>+VLOOKUP($B44,'1.1 FY2016'!$B$5:$E$61,3,FALSE)</f>
        <v>105</v>
      </c>
      <c r="E44" s="2" t="str">
        <f>+VLOOKUP($B44,'1.1 FY2016'!$B$5:$E$61,4,FALSE)</f>
        <v>Generco Healthcare Ltd</v>
      </c>
    </row>
    <row r="45" spans="2:5" x14ac:dyDescent="0.2">
      <c r="B45" s="2" t="s">
        <v>157</v>
      </c>
      <c r="C45" s="2" t="str">
        <f>+VLOOKUP($B45,'1.1 FY2016'!$B$5:$E$61,2,FALSE)</f>
        <v>Misc extraordinary expenses</v>
      </c>
      <c r="D45" s="30">
        <f>+VLOOKUP($B45,'1.1 FY2016'!$B$5:$E$61,3,FALSE)</f>
        <v>111111</v>
      </c>
      <c r="E45" s="2" t="str">
        <f>+VLOOKUP($B45,'1.1 FY2016'!$B$5:$E$61,4,FALSE)</f>
        <v>External</v>
      </c>
    </row>
    <row r="46" spans="2:5" x14ac:dyDescent="0.2">
      <c r="B46" s="2" t="s">
        <v>158</v>
      </c>
      <c r="C46" s="2" t="str">
        <f>+VLOOKUP($B46,'1.1 FY2016'!$B$5:$E$61,2,FALSE)</f>
        <v>Difference from eliminations</v>
      </c>
      <c r="D46" s="30">
        <f>+VLOOKUP($B46,'1.1 FY2016'!$B$5:$E$61,3,FALSE)</f>
        <v>1009</v>
      </c>
      <c r="E46" s="2" t="str">
        <f>+VLOOKUP($B46,'1.1 FY2016'!$B$5:$E$61,4,FALSE)</f>
        <v>Green Ventures Ltd</v>
      </c>
    </row>
    <row r="47" spans="2:5" x14ac:dyDescent="0.2">
      <c r="B47" s="2" t="s">
        <v>159</v>
      </c>
      <c r="C47" s="2" t="str">
        <f>+VLOOKUP($B47,'1.1 FY2016'!$B$5:$E$61,2,FALSE)</f>
        <v>Difference from eliminations</v>
      </c>
      <c r="D47" s="30">
        <f>+VLOOKUP($B47,'1.1 FY2016'!$B$5:$E$61,3,FALSE)</f>
        <v>1007</v>
      </c>
      <c r="E47" s="2" t="str">
        <f>+VLOOKUP($B47,'1.1 FY2016'!$B$5:$E$61,4,FALSE)</f>
        <v>Generco Sunshine JSC</v>
      </c>
    </row>
    <row r="48" spans="2:5" x14ac:dyDescent="0.2">
      <c r="B48" s="2" t="s">
        <v>160</v>
      </c>
      <c r="C48" s="2" t="str">
        <f>+VLOOKUP($B48,'1.1 FY2016'!$B$5:$E$61,2,FALSE)</f>
        <v>Difference from eliminations</v>
      </c>
      <c r="D48" s="30">
        <f>+VLOOKUP($B48,'1.1 FY2016'!$B$5:$E$61,3,FALSE)</f>
        <v>1008</v>
      </c>
      <c r="E48" s="2" t="str">
        <f>+VLOOKUP($B48,'1.1 FY2016'!$B$5:$E$61,4,FALSE)</f>
        <v>Greenco Ltd</v>
      </c>
    </row>
    <row r="49" spans="2:5" x14ac:dyDescent="0.2">
      <c r="B49" s="2" t="s">
        <v>161</v>
      </c>
      <c r="C49" s="2" t="str">
        <f>+VLOOKUP($B49,'1.1 FY2016'!$B$5:$E$61,2,FALSE)</f>
        <v>Interest income</v>
      </c>
      <c r="D49" s="30">
        <f>+VLOOKUP($B49,'1.1 FY2016'!$B$5:$E$61,3,FALSE)</f>
        <v>1009</v>
      </c>
      <c r="E49" s="2" t="str">
        <f>+VLOOKUP($B49,'1.1 FY2016'!$B$5:$E$61,4,FALSE)</f>
        <v>Green Ventures Ltd</v>
      </c>
    </row>
    <row r="50" spans="2:5" x14ac:dyDescent="0.2">
      <c r="B50" s="2" t="s">
        <v>162</v>
      </c>
      <c r="C50" s="2" t="str">
        <f>+VLOOKUP($B50,'1.1 FY2016'!$B$5:$E$61,2,FALSE)</f>
        <v>Interest income</v>
      </c>
      <c r="D50" s="30">
        <f>+VLOOKUP($B50,'1.1 FY2016'!$B$5:$E$61,3,FALSE)</f>
        <v>1007</v>
      </c>
      <c r="E50" s="2" t="str">
        <f>+VLOOKUP($B50,'1.1 FY2016'!$B$5:$E$61,4,FALSE)</f>
        <v>Generco Sunshine JSC</v>
      </c>
    </row>
    <row r="51" spans="2:5" x14ac:dyDescent="0.2">
      <c r="B51" s="2" t="s">
        <v>163</v>
      </c>
      <c r="C51" s="2" t="str">
        <f>+VLOOKUP($B51,'1.1 FY2016'!$B$5:$E$61,2,FALSE)</f>
        <v>Interest income</v>
      </c>
      <c r="D51" s="30">
        <f>+VLOOKUP($B51,'1.1 FY2016'!$B$5:$E$61,3,FALSE)</f>
        <v>1008</v>
      </c>
      <c r="E51" s="2" t="str">
        <f>+VLOOKUP($B51,'1.1 FY2016'!$B$5:$E$61,4,FALSE)</f>
        <v>Greenco Ltd</v>
      </c>
    </row>
    <row r="52" spans="2:5" x14ac:dyDescent="0.2">
      <c r="B52" s="2" t="s">
        <v>164</v>
      </c>
      <c r="C52" s="2" t="str">
        <f>+VLOOKUP($B52,'1.1 FY2016'!$B$5:$E$61,2,FALSE)</f>
        <v>Interest income</v>
      </c>
      <c r="D52" s="30">
        <f>+VLOOKUP($B52,'1.1 FY2016'!$B$5:$E$61,3,FALSE)</f>
        <v>1240</v>
      </c>
      <c r="E52" s="2" t="str">
        <f>+VLOOKUP($B52,'1.1 FY2016'!$B$5:$E$61,4,FALSE)</f>
        <v xml:space="preserve">Generco UK </v>
      </c>
    </row>
    <row r="53" spans="2:5" x14ac:dyDescent="0.2">
      <c r="B53" s="2" t="s">
        <v>165</v>
      </c>
      <c r="C53" s="2" t="str">
        <f>+VLOOKUP($B53,'1.1 FY2016'!$B$5:$E$61,2,FALSE)</f>
        <v>Interest income</v>
      </c>
      <c r="D53" s="30">
        <f>+VLOOKUP($B53,'1.1 FY2016'!$B$5:$E$61,3,FALSE)</f>
        <v>111111</v>
      </c>
      <c r="E53" s="2" t="str">
        <f>+VLOOKUP($B53,'1.1 FY2016'!$B$5:$E$61,4,FALSE)</f>
        <v>External</v>
      </c>
    </row>
    <row r="54" spans="2:5" x14ac:dyDescent="0.2">
      <c r="B54" s="2" t="s">
        <v>166</v>
      </c>
      <c r="C54" s="2" t="str">
        <f>+VLOOKUP($B54,'1.1 FY2016'!$B$5:$E$61,2,FALSE)</f>
        <v>Capitalized interest</v>
      </c>
      <c r="D54" s="30">
        <f>+VLOOKUP($B54,'1.1 FY2016'!$B$5:$E$61,3,FALSE)</f>
        <v>111101</v>
      </c>
      <c r="E54" s="2" t="str">
        <f>+VLOOKUP($B54,'1.1 FY2016'!$B$5:$E$61,4,FALSE)</f>
        <v>Not assigned</v>
      </c>
    </row>
    <row r="55" spans="2:5" x14ac:dyDescent="0.2">
      <c r="B55" s="2" t="s">
        <v>167</v>
      </c>
      <c r="C55" s="2" t="str">
        <f>+VLOOKUP($B55,'1.1 FY2016'!$B$5:$E$61,2,FALSE)</f>
        <v>Non-recurring costs</v>
      </c>
      <c r="D55" s="30">
        <f>+VLOOKUP($B55,'1.1 FY2016'!$B$5:$E$61,3,FALSE)</f>
        <v>111101</v>
      </c>
      <c r="E55" s="2" t="str">
        <f>+VLOOKUP($B55,'1.1 FY2016'!$B$5:$E$61,4,FALSE)</f>
        <v>Not assigned</v>
      </c>
    </row>
    <row r="56" spans="2:5" x14ac:dyDescent="0.2">
      <c r="B56" s="2" t="s">
        <v>168</v>
      </c>
      <c r="C56" s="2" t="str">
        <f>+VLOOKUP($B56,'1.1 FY2016'!$B$5:$E$61,2,FALSE)</f>
        <v>Interest expenses</v>
      </c>
      <c r="D56" s="30">
        <f>+VLOOKUP($B56,'1.1 FY2016'!$B$5:$E$61,3,FALSE)</f>
        <v>88</v>
      </c>
      <c r="E56" s="2" t="str">
        <f>+VLOOKUP($B56,'1.1 FY2016'!$B$5:$E$61,4,FALSE)</f>
        <v>Generco Ltd</v>
      </c>
    </row>
    <row r="57" spans="2:5" x14ac:dyDescent="0.2">
      <c r="B57" s="2" t="s">
        <v>169</v>
      </c>
      <c r="C57" s="2" t="str">
        <f>+VLOOKUP($B57,'1.1 FY2016'!$B$5:$E$61,2,FALSE)</f>
        <v>Current taxes</v>
      </c>
      <c r="D57" s="30">
        <f>+VLOOKUP($B57,'1.1 FY2016'!$B$5:$E$61,3,FALSE)</f>
        <v>111101</v>
      </c>
      <c r="E57" s="2" t="str">
        <f>+VLOOKUP($B57,'1.1 FY2016'!$B$5:$E$61,4,FALSE)</f>
        <v>Not assigned</v>
      </c>
    </row>
    <row r="58" spans="2:5" x14ac:dyDescent="0.2">
      <c r="B58" s="2" t="s">
        <v>170</v>
      </c>
      <c r="C58" s="2" t="str">
        <f>+VLOOKUP($B58,'1.1 FY2016'!$B$5:$E$61,2,FALSE)</f>
        <v>Regional taxes</v>
      </c>
      <c r="D58" s="30">
        <f>+VLOOKUP($B58,'1.1 FY2016'!$B$5:$E$61,3,FALSE)</f>
        <v>111101</v>
      </c>
      <c r="E58" s="2" t="str">
        <f>+VLOOKUP($B58,'1.1 FY2016'!$B$5:$E$61,4,FALSE)</f>
        <v>Not assigned</v>
      </c>
    </row>
    <row r="59" spans="2:5" x14ac:dyDescent="0.2">
      <c r="B59" s="2" t="s">
        <v>171</v>
      </c>
      <c r="C59" s="2" t="str">
        <f>+VLOOKUP($B59,'1.1 FY2016'!$B$5:$E$61,2,FALSE)</f>
        <v>Deferred taxes</v>
      </c>
      <c r="D59" s="30">
        <f>+VLOOKUP($B59,'1.1 FY2016'!$B$5:$E$61,3,FALSE)</f>
        <v>111101</v>
      </c>
      <c r="E59" s="2" t="str">
        <f>+VLOOKUP($B59,'1.1 FY2016'!$B$5:$E$61,4,FALSE)</f>
        <v>Not assigned</v>
      </c>
    </row>
    <row r="60" spans="2:5" x14ac:dyDescent="0.2">
      <c r="B60" s="2" t="s">
        <v>172</v>
      </c>
      <c r="C60" s="2" t="str">
        <f>+VLOOKUP($B60,'1.1 FY2016'!$B$5:$E$61,2,FALSE)</f>
        <v>Net income/(loss)</v>
      </c>
      <c r="D60" s="30">
        <f>+VLOOKUP($B60,'1.1 FY2016'!$B$5:$E$61,3,FALSE)</f>
        <v>111101</v>
      </c>
      <c r="E60" s="2" t="str">
        <f>+VLOOKUP($B60,'1.1 FY2016'!$B$5:$E$61,4,FALSE)</f>
        <v>Not assigned</v>
      </c>
    </row>
    <row r="61" spans="2:5" x14ac:dyDescent="0.2">
      <c r="B61" s="2" t="s">
        <v>173</v>
      </c>
      <c r="C61" s="2" t="str">
        <f>+VLOOKUP($B61,'1.2 FY2017'!$B$5:$E$86,2,FALSE)</f>
        <v>Core business revenues</v>
      </c>
      <c r="D61" s="30">
        <f>+VLOOKUP($B61,'1.2 FY2017'!$B$5:$E$86,3,FALSE)</f>
        <v>105</v>
      </c>
      <c r="E61" s="2" t="str">
        <f>+VLOOKUP($B61,'1.2 FY2017'!$B$5:$E$86,4,FALSE)</f>
        <v>Generco Healthcare Ltd</v>
      </c>
    </row>
    <row r="62" spans="2:5" x14ac:dyDescent="0.2">
      <c r="B62" s="2" t="s">
        <v>174</v>
      </c>
      <c r="C62" s="2" t="str">
        <f>+VLOOKUP($B62,'1.2 FY2017'!$B$5:$E$86,2,FALSE)</f>
        <v>Capitalized costs</v>
      </c>
      <c r="D62" s="30" t="str">
        <f>+VLOOKUP($B62,'1.2 FY2017'!$B$5:$E$86,3,FALSE)</f>
        <v>1086</v>
      </c>
      <c r="E62" s="2" t="str">
        <f>+VLOOKUP($B62,'1.2 FY2017'!$B$5:$E$86,4,FALSE)</f>
        <v>G&amp;Resources Ltd</v>
      </c>
    </row>
    <row r="63" spans="2:5" x14ac:dyDescent="0.2">
      <c r="B63" s="2" t="s">
        <v>175</v>
      </c>
      <c r="C63" s="2" t="str">
        <f>+VLOOKUP($B63,'1.2 FY2017'!$B$5:$E$86,2,FALSE)</f>
        <v>Utility charges</v>
      </c>
      <c r="D63" s="30">
        <f>+VLOOKUP($B63,'1.2 FY2017'!$B$5:$E$86,3,FALSE)</f>
        <v>111111</v>
      </c>
      <c r="E63" s="2" t="str">
        <f>+VLOOKUP($B63,'1.2 FY2017'!$B$5:$E$86,4,FALSE)</f>
        <v>External</v>
      </c>
    </row>
    <row r="64" spans="2:5" x14ac:dyDescent="0.2">
      <c r="B64" s="2" t="s">
        <v>176</v>
      </c>
      <c r="C64" s="2" t="str">
        <f>+VLOOKUP($B64,'1.2 FY2017'!$B$5:$E$86,2,FALSE)</f>
        <v>R&amp;D expenses</v>
      </c>
      <c r="D64" s="30">
        <f>+VLOOKUP($B64,'1.2 FY2017'!$B$5:$E$86,3,FALSE)</f>
        <v>19</v>
      </c>
      <c r="E64" s="2" t="str">
        <f>+VLOOKUP($B64,'1.2 FY2017'!$B$5:$E$86,4,FALSE)</f>
        <v>Generco Cosmetics Ltd</v>
      </c>
    </row>
    <row r="65" spans="2:5" x14ac:dyDescent="0.2">
      <c r="B65" s="2" t="s">
        <v>177</v>
      </c>
      <c r="C65" s="2" t="str">
        <f>+VLOOKUP($B65,'1.2 FY2017'!$B$5:$E$86,2,FALSE)</f>
        <v>R&amp;D expenses</v>
      </c>
      <c r="D65" s="30" t="str">
        <f>+VLOOKUP($B65,'1.2 FY2017'!$B$5:$E$86,3,FALSE)</f>
        <v>1283</v>
      </c>
      <c r="E65" s="2" t="str">
        <f>+VLOOKUP($B65,'1.2 FY2017'!$B$5:$E$86,4,FALSE)</f>
        <v>Generco Ventures Ltd</v>
      </c>
    </row>
    <row r="66" spans="2:5" x14ac:dyDescent="0.2">
      <c r="B66" s="2" t="s">
        <v>178</v>
      </c>
      <c r="C66" s="2" t="str">
        <f>+VLOOKUP($B66,'1.2 FY2017'!$B$5:$E$86,2,FALSE)</f>
        <v>R&amp;D expenses</v>
      </c>
      <c r="D66" s="30" t="str">
        <f>+VLOOKUP($B66,'1.2 FY2017'!$B$5:$E$86,3,FALSE)</f>
        <v>1924</v>
      </c>
      <c r="E66" s="2" t="str">
        <f>+VLOOKUP($B66,'1.2 FY2017'!$B$5:$E$86,4,FALSE)</f>
        <v>Generco Infrastructure Ltd</v>
      </c>
    </row>
    <row r="67" spans="2:5" x14ac:dyDescent="0.2">
      <c r="B67" s="2" t="s">
        <v>179</v>
      </c>
      <c r="C67" s="2" t="str">
        <f>+VLOOKUP($B67,'1.2 FY2017'!$B$5:$E$86,2,FALSE)</f>
        <v>R&amp;D expenses</v>
      </c>
      <c r="D67" s="30" t="str">
        <f>+VLOOKUP($B67,'1.2 FY2017'!$B$5:$E$86,3,FALSE)</f>
        <v>2486</v>
      </c>
      <c r="E67" s="2" t="str">
        <f>+VLOOKUP($B67,'1.2 FY2017'!$B$5:$E$86,4,FALSE)</f>
        <v>Generco Exloration Ltd</v>
      </c>
    </row>
    <row r="68" spans="2:5" x14ac:dyDescent="0.2">
      <c r="B68" s="2" t="s">
        <v>180</v>
      </c>
      <c r="C68" s="2" t="str">
        <f>+VLOOKUP($B68,'1.2 FY2017'!$B$5:$E$86,2,FALSE)</f>
        <v>Other personnel expenses</v>
      </c>
      <c r="D68" s="30">
        <f>+VLOOKUP($B68,'1.2 FY2017'!$B$5:$E$86,3,FALSE)</f>
        <v>111101</v>
      </c>
      <c r="E68" s="2" t="str">
        <f>+VLOOKUP($B68,'1.2 FY2017'!$B$5:$E$86,4,FALSE)</f>
        <v>Not assigned</v>
      </c>
    </row>
    <row r="69" spans="2:5" x14ac:dyDescent="0.2">
      <c r="B69" s="2" t="s">
        <v>181</v>
      </c>
      <c r="C69" s="2" t="str">
        <f>+VLOOKUP($B69,'1.2 FY2017'!$B$5:$E$86,2,FALSE)</f>
        <v>D&amp;A</v>
      </c>
      <c r="D69" s="30">
        <f>+VLOOKUP($B69,'1.2 FY2017'!$B$5:$E$86,3,FALSE)</f>
        <v>111101</v>
      </c>
      <c r="E69" s="2" t="str">
        <f>+VLOOKUP($B69,'1.2 FY2017'!$B$5:$E$86,4,FALSE)</f>
        <v>Not assigned</v>
      </c>
    </row>
    <row r="70" spans="2:5" x14ac:dyDescent="0.2">
      <c r="B70" s="2" t="s">
        <v>182</v>
      </c>
      <c r="C70" s="2" t="str">
        <f>+VLOOKUP($B70,'1.2 FY2017'!$B$5:$E$86,2,FALSE)</f>
        <v>Gains from disposal of PP&amp;E</v>
      </c>
      <c r="D70" s="30">
        <f>+VLOOKUP($B70,'1.2 FY2017'!$B$5:$E$86,3,FALSE)</f>
        <v>111111</v>
      </c>
      <c r="E70" s="2" t="str">
        <f>+VLOOKUP($B70,'1.2 FY2017'!$B$5:$E$86,4,FALSE)</f>
        <v>External</v>
      </c>
    </row>
    <row r="71" spans="2:5" x14ac:dyDescent="0.2">
      <c r="B71" s="2" t="s">
        <v>183</v>
      </c>
      <c r="C71" s="2" t="str">
        <f>+VLOOKUP($B71,'1.2 FY2017'!$B$5:$E$86,2,FALSE)</f>
        <v>Corporate recharges</v>
      </c>
      <c r="D71" s="30">
        <f>+VLOOKUP($B71,'1.2 FY2017'!$B$5:$E$86,3,FALSE)</f>
        <v>19</v>
      </c>
      <c r="E71" s="2" t="str">
        <f>+VLOOKUP($B71,'1.2 FY2017'!$B$5:$E$86,4,FALSE)</f>
        <v>Generco Cosmetics Ltd</v>
      </c>
    </row>
    <row r="72" spans="2:5" x14ac:dyDescent="0.2">
      <c r="B72" s="2" t="s">
        <v>184</v>
      </c>
      <c r="C72" s="2" t="str">
        <f>+VLOOKUP($B72,'1.2 FY2017'!$B$5:$E$86,2,FALSE)</f>
        <v>Corporate recharges</v>
      </c>
      <c r="D72" s="30" t="str">
        <f>+VLOOKUP($B72,'1.2 FY2017'!$B$5:$E$86,3,FALSE)</f>
        <v>1076</v>
      </c>
      <c r="E72" s="2" t="str">
        <f>+VLOOKUP($B72,'1.2 FY2017'!$B$5:$E$86,4,FALSE)</f>
        <v>Generco Trading Ltd</v>
      </c>
    </row>
    <row r="73" spans="2:5" x14ac:dyDescent="0.2">
      <c r="B73" s="2" t="s">
        <v>185</v>
      </c>
      <c r="C73" s="2" t="str">
        <f>+VLOOKUP($B73,'1.2 FY2017'!$B$5:$E$86,2,FALSE)</f>
        <v>Corporate recharges</v>
      </c>
      <c r="D73" s="30" t="str">
        <f>+VLOOKUP($B73,'1.2 FY2017'!$B$5:$E$86,3,FALSE)</f>
        <v>1086</v>
      </c>
      <c r="E73" s="2" t="str">
        <f>+VLOOKUP($B73,'1.2 FY2017'!$B$5:$E$86,4,FALSE)</f>
        <v>G&amp;Resources Ltd</v>
      </c>
    </row>
    <row r="74" spans="2:5" x14ac:dyDescent="0.2">
      <c r="B74" s="2" t="s">
        <v>186</v>
      </c>
      <c r="C74" s="2" t="str">
        <f>+VLOOKUP($B74,'1.2 FY2017'!$B$5:$E$86,2,FALSE)</f>
        <v>Corporate recharges</v>
      </c>
      <c r="D74" s="30" t="str">
        <f>+VLOOKUP($B74,'1.2 FY2017'!$B$5:$E$86,3,FALSE)</f>
        <v>47037</v>
      </c>
      <c r="E74" s="2" t="str">
        <f>+VLOOKUP($B74,'1.2 FY2017'!$B$5:$E$86,4,FALSE)</f>
        <v>G&amp;CR Global Ltd</v>
      </c>
    </row>
    <row r="75" spans="2:5" x14ac:dyDescent="0.2">
      <c r="B75" s="2" t="s">
        <v>187</v>
      </c>
      <c r="C75" s="2" t="str">
        <f>+VLOOKUP($B75,'1.2 FY2017'!$B$5:$E$86,2,FALSE)</f>
        <v>Other income</v>
      </c>
      <c r="D75" s="30">
        <f>+VLOOKUP($B75,'1.2 FY2017'!$B$5:$E$86,3,FALSE)</f>
        <v>88</v>
      </c>
      <c r="E75" s="2" t="str">
        <f>+VLOOKUP($B75,'1.2 FY2017'!$B$5:$E$86,4,FALSE)</f>
        <v>Generco Ltd</v>
      </c>
    </row>
    <row r="76" spans="2:5" x14ac:dyDescent="0.2">
      <c r="B76" s="2" t="s">
        <v>188</v>
      </c>
      <c r="C76" s="2" t="str">
        <f>+VLOOKUP($B76,'1.2 FY2017'!$B$5:$E$86,2,FALSE)</f>
        <v>Concession fees other</v>
      </c>
      <c r="D76" s="30">
        <f>+VLOOKUP($B76,'1.2 FY2017'!$B$5:$E$86,3,FALSE)</f>
        <v>111101</v>
      </c>
      <c r="E76" s="2" t="str">
        <f>+VLOOKUP($B76,'1.2 FY2017'!$B$5:$E$86,4,FALSE)</f>
        <v>Not assigned</v>
      </c>
    </row>
    <row r="77" spans="2:5" x14ac:dyDescent="0.2">
      <c r="B77" s="2" t="s">
        <v>189</v>
      </c>
      <c r="C77" s="2" t="str">
        <f>+VLOOKUP($B77,'1.2 FY2017'!$B$5:$E$86,2,FALSE)</f>
        <v>Service expenses</v>
      </c>
      <c r="D77" s="30">
        <f>+VLOOKUP($B77,'1.2 FY2017'!$B$5:$E$86,3,FALSE)</f>
        <v>105</v>
      </c>
      <c r="E77" s="2" t="str">
        <f>+VLOOKUP($B77,'1.2 FY2017'!$B$5:$E$86,4,FALSE)</f>
        <v>Generco Healthcare Ltd</v>
      </c>
    </row>
    <row r="78" spans="2:5" x14ac:dyDescent="0.2">
      <c r="B78" s="2" t="s">
        <v>190</v>
      </c>
      <c r="C78" s="2" t="str">
        <f>+VLOOKUP($B78,'1.2 FY2017'!$B$5:$E$86,2,FALSE)</f>
        <v>Insurance expenses</v>
      </c>
      <c r="D78" s="30">
        <f>+VLOOKUP($B78,'1.2 FY2017'!$B$5:$E$86,3,FALSE)</f>
        <v>1900</v>
      </c>
      <c r="E78" s="2" t="str">
        <f>+VLOOKUP($B78,'1.2 FY2017'!$B$5:$E$86,4,FALSE)</f>
        <v>Generco Metals Gm</v>
      </c>
    </row>
    <row r="79" spans="2:5" x14ac:dyDescent="0.2">
      <c r="B79" s="2" t="s">
        <v>191</v>
      </c>
      <c r="C79" s="2" t="str">
        <f>+VLOOKUP($B79,'1.2 FY2017'!$B$5:$E$86,2,FALSE)</f>
        <v>Travel expenses</v>
      </c>
      <c r="D79" s="30" t="str">
        <f>+VLOOKUP($B79,'1.2 FY2017'!$B$5:$E$86,3,FALSE)</f>
        <v>1118</v>
      </c>
      <c r="E79" s="2" t="str">
        <f>+VLOOKUP($B79,'1.2 FY2017'!$B$5:$E$86,4,FALSE)</f>
        <v>Gener Green LLC</v>
      </c>
    </row>
    <row r="80" spans="2:5" x14ac:dyDescent="0.2">
      <c r="B80" s="2" t="s">
        <v>192</v>
      </c>
      <c r="C80" s="2" t="str">
        <f>+VLOOKUP($B80,'1.2 FY2017'!$B$5:$E$86,2,FALSE)</f>
        <v>Losses fr disposal of PPE</v>
      </c>
      <c r="D80" s="30">
        <f>+VLOOKUP($B80,'1.2 FY2017'!$B$5:$E$86,3,FALSE)</f>
        <v>111111</v>
      </c>
      <c r="E80" s="2" t="str">
        <f>+VLOOKUP($B80,'1.2 FY2017'!$B$5:$E$86,4,FALSE)</f>
        <v>External</v>
      </c>
    </row>
    <row r="81" spans="2:5" x14ac:dyDescent="0.2">
      <c r="B81" s="2" t="s">
        <v>193</v>
      </c>
      <c r="C81" s="2" t="str">
        <f>+VLOOKUP($B81,'1.2 FY2017'!$B$5:$E$86,2,FALSE)</f>
        <v>Other operative currency differences</v>
      </c>
      <c r="D81" s="30">
        <f>+VLOOKUP($B81,'1.2 FY2017'!$B$5:$E$86,3,FALSE)</f>
        <v>19</v>
      </c>
      <c r="E81" s="2" t="str">
        <f>+VLOOKUP($B81,'1.2 FY2017'!$B$5:$E$86,4,FALSE)</f>
        <v>Generco Cosmetics Ltd</v>
      </c>
    </row>
    <row r="82" spans="2:5" x14ac:dyDescent="0.2">
      <c r="B82" s="2" t="s">
        <v>194</v>
      </c>
      <c r="C82" s="2" t="str">
        <f>+VLOOKUP($B82,'1.2 FY2017'!$B$5:$E$86,2,FALSE)</f>
        <v>Other operative currency differences</v>
      </c>
      <c r="D82" s="30">
        <f>+VLOOKUP($B82,'1.2 FY2017'!$B$5:$E$86,3,FALSE)</f>
        <v>111111</v>
      </c>
      <c r="E82" s="2" t="str">
        <f>+VLOOKUP($B82,'1.2 FY2017'!$B$5:$E$86,4,FALSE)</f>
        <v>External</v>
      </c>
    </row>
    <row r="83" spans="2:5" x14ac:dyDescent="0.2">
      <c r="B83" s="2" t="s">
        <v>195</v>
      </c>
      <c r="C83" s="2" t="str">
        <f>+VLOOKUP($B83,'1.2 FY2017'!$B$5:$E$86,2,FALSE)</f>
        <v>Property tax</v>
      </c>
      <c r="D83" s="30">
        <f>+VLOOKUP($B83,'1.2 FY2017'!$B$5:$E$86,3,FALSE)</f>
        <v>111111</v>
      </c>
      <c r="E83" s="2" t="str">
        <f>+VLOOKUP($B83,'1.2 FY2017'!$B$5:$E$86,4,FALSE)</f>
        <v>External</v>
      </c>
    </row>
    <row r="84" spans="2:5" x14ac:dyDescent="0.2">
      <c r="B84" s="2" t="s">
        <v>196</v>
      </c>
      <c r="C84" s="2" t="str">
        <f>+VLOOKUP($B84,'1.2 FY2017'!$B$5:$E$86,2,FALSE)</f>
        <v>Misc extraordinary expenses</v>
      </c>
      <c r="D84" s="30">
        <f>+VLOOKUP($B84,'1.2 FY2017'!$B$5:$E$86,3,FALSE)</f>
        <v>19</v>
      </c>
      <c r="E84" s="2" t="str">
        <f>+VLOOKUP($B84,'1.2 FY2017'!$B$5:$E$86,4,FALSE)</f>
        <v>Generco Cosmetics Ltd</v>
      </c>
    </row>
    <row r="85" spans="2:5" x14ac:dyDescent="0.2">
      <c r="B85" s="2" t="s">
        <v>197</v>
      </c>
      <c r="C85" s="2" t="str">
        <f>+VLOOKUP($B85,'1.2 FY2017'!$B$5:$E$86,2,FALSE)</f>
        <v>Misc extraordinary expenses</v>
      </c>
      <c r="D85" s="30" t="str">
        <f>+VLOOKUP($B85,'1.2 FY2017'!$B$5:$E$86,3,FALSE)</f>
        <v>43</v>
      </c>
      <c r="E85" s="2" t="str">
        <f>+VLOOKUP($B85,'1.2 FY2017'!$B$5:$E$86,4,FALSE)</f>
        <v>Greeny France SL</v>
      </c>
    </row>
    <row r="86" spans="2:5" x14ac:dyDescent="0.2">
      <c r="B86" s="2" t="s">
        <v>198</v>
      </c>
      <c r="C86" s="2" t="str">
        <f>+VLOOKUP($B86,'1.2 FY2017'!$B$5:$E$86,2,FALSE)</f>
        <v>Misc extraordinary expenses</v>
      </c>
      <c r="D86" s="30" t="str">
        <f>+VLOOKUP($B86,'1.2 FY2017'!$B$5:$E$86,3,FALSE)</f>
        <v>1924</v>
      </c>
      <c r="E86" s="2" t="str">
        <f>+VLOOKUP($B86,'1.2 FY2017'!$B$5:$E$86,4,FALSE)</f>
        <v>Generco Infrastructure Ltd</v>
      </c>
    </row>
    <row r="87" spans="2:5" x14ac:dyDescent="0.2">
      <c r="B87" s="2" t="s">
        <v>199</v>
      </c>
      <c r="C87" s="2" t="str">
        <f>+VLOOKUP($B87,'1.2 FY2017'!$B$5:$E$86,2,FALSE)</f>
        <v>Difference from eliminations</v>
      </c>
      <c r="D87" s="30" t="str">
        <f>+VLOOKUP($B87,'1.2 FY2017'!$B$5:$E$86,3,FALSE)</f>
        <v>1086</v>
      </c>
      <c r="E87" s="2" t="str">
        <f>+VLOOKUP($B87,'1.2 FY2017'!$B$5:$E$86,4,FALSE)</f>
        <v>G&amp;Resources Ltd</v>
      </c>
    </row>
    <row r="88" spans="2:5" x14ac:dyDescent="0.2">
      <c r="B88" s="2" t="s">
        <v>200</v>
      </c>
      <c r="C88" s="2" t="str">
        <f>+VLOOKUP($B88,'1.2 FY2017'!$B$5:$E$86,2,FALSE)</f>
        <v>Interest income</v>
      </c>
      <c r="D88" s="30" t="str">
        <f>+VLOOKUP($B88,'1.2 FY2017'!$B$5:$E$86,3,FALSE)</f>
        <v>1086</v>
      </c>
      <c r="E88" s="2" t="str">
        <f>+VLOOKUP($B88,'1.2 FY2017'!$B$5:$E$86,4,FALSE)</f>
        <v>G&amp;Resources Ltd</v>
      </c>
    </row>
    <row r="89" spans="2:5" x14ac:dyDescent="0.2">
      <c r="B89" s="2" t="s">
        <v>201</v>
      </c>
      <c r="C89" s="2" t="str">
        <f>+VLOOKUP($B89,'1.2 FY2017'!$B$5:$E$86,2,FALSE)</f>
        <v>Interest income</v>
      </c>
      <c r="D89" s="30">
        <f>+VLOOKUP($B89,'1.2 FY2017'!$B$5:$E$86,3,FALSE)</f>
        <v>1006</v>
      </c>
      <c r="E89" s="2" t="str">
        <f>+VLOOKUP($B89,'1.2 FY2017'!$B$5:$E$86,4,FALSE)</f>
        <v>Generco Mining GmbH</v>
      </c>
    </row>
    <row r="90" spans="2:5" x14ac:dyDescent="0.2">
      <c r="B90" s="2" t="s">
        <v>202</v>
      </c>
      <c r="C90" s="2" t="str">
        <f>+VLOOKUP($B90,'1.2 FY2017'!$B$5:$E$86,2,FALSE)</f>
        <v>Interest expenses</v>
      </c>
      <c r="D90" s="30">
        <f>+VLOOKUP($B90,'1.2 FY2017'!$B$5:$E$86,3,FALSE)</f>
        <v>1007</v>
      </c>
      <c r="E90" s="2" t="str">
        <f>+VLOOKUP($B90,'1.2 FY2017'!$B$5:$E$86,4,FALSE)</f>
        <v>Generco Semiconductors Ltd</v>
      </c>
    </row>
    <row r="91" spans="2:5" x14ac:dyDescent="0.2">
      <c r="B91" s="2" t="s">
        <v>203</v>
      </c>
      <c r="C91" s="2" t="str">
        <f>+VLOOKUP($B91,'1.2 FY2017'!$B$5:$E$86,2,FALSE)</f>
        <v>Interest expenses</v>
      </c>
      <c r="D91" s="30">
        <f>+VLOOKUP($B91,'1.2 FY2017'!$B$5:$E$86,3,FALSE)</f>
        <v>111111</v>
      </c>
      <c r="E91" s="2" t="str">
        <f>+VLOOKUP($B91,'1.2 FY2017'!$B$5:$E$86,4,FALSE)</f>
        <v>External</v>
      </c>
    </row>
    <row r="92" spans="2:5" x14ac:dyDescent="0.2">
      <c r="B92" s="2" t="s">
        <v>204</v>
      </c>
      <c r="C92" s="2" t="str">
        <f>+VLOOKUP($B92,'1.2 FY2017'!$B$5:$E$86,2,FALSE)</f>
        <v>Impairment of participation</v>
      </c>
      <c r="D92" s="30">
        <f>+VLOOKUP($B92,'1.2 FY2017'!$B$5:$E$86,3,FALSE)</f>
        <v>1240</v>
      </c>
      <c r="E92" s="2" t="str">
        <f>+VLOOKUP($B92,'1.2 FY2017'!$B$5:$E$86,4,FALSE)</f>
        <v xml:space="preserve">Generco UK </v>
      </c>
    </row>
    <row r="93" spans="2:5" x14ac:dyDescent="0.2">
      <c r="B93" s="2" t="s">
        <v>205</v>
      </c>
      <c r="C93" s="2" t="str">
        <f>+VLOOKUP($B93,'1.2 FY2017'!$B$5:$E$86,2,FALSE)</f>
        <v>Quarterly changes in current taxes</v>
      </c>
      <c r="D93" s="30">
        <f>+VLOOKUP($B93,'1.2 FY2017'!$B$5:$E$86,3,FALSE)</f>
        <v>111101</v>
      </c>
      <c r="E93" s="2" t="str">
        <f>+VLOOKUP($B93,'1.2 FY2017'!$B$5:$E$86,4,FALSE)</f>
        <v>Not assigned</v>
      </c>
    </row>
    <row r="94" spans="2:5" x14ac:dyDescent="0.2">
      <c r="B94" s="2" t="s">
        <v>206</v>
      </c>
      <c r="C94" s="2" t="str">
        <f>+VLOOKUP($B94,'1.2 FY2017'!$B$5:$E$86,2,FALSE)</f>
        <v>Net income/(loss)</v>
      </c>
      <c r="D94" s="30">
        <f>+VLOOKUP($B94,'1.2 FY2017'!$B$5:$E$86,3,FALSE)</f>
        <v>111101</v>
      </c>
      <c r="E94" s="2" t="str">
        <f>+VLOOKUP($B94,'1.2 FY2017'!$B$5:$E$86,4,FALSE)</f>
        <v>Not assigned</v>
      </c>
    </row>
    <row r="95" spans="2:5" x14ac:dyDescent="0.2">
      <c r="B95" s="2" t="s">
        <v>207</v>
      </c>
      <c r="C95" s="2" t="str">
        <f>+VLOOKUP($B95,'1.3 FY2018'!$B$5:$E$78,2,FALSE)</f>
        <v>Operating expenses for utilities</v>
      </c>
      <c r="D95" s="30">
        <f>+VLOOKUP($B95,'1.3 FY2018'!$B$5:$E$78,3,FALSE)</f>
        <v>111111</v>
      </c>
      <c r="E95" s="2" t="str">
        <f>+VLOOKUP($B95,'1.3 FY2018'!$B$5:$E$78,4,FALSE)</f>
        <v>External</v>
      </c>
    </row>
    <row r="96" spans="2:5" x14ac:dyDescent="0.2">
      <c r="B96" s="2" t="s">
        <v>208</v>
      </c>
      <c r="C96" s="2" t="str">
        <f>+VLOOKUP($B96,'1.3 FY2018'!$B$5:$E$78,2,FALSE)</f>
        <v>R&amp;D expenses</v>
      </c>
      <c r="D96" s="30" t="str">
        <f>+VLOOKUP($B96,'1.3 FY2018'!$B$5:$E$78,3,FALSE)</f>
        <v>2185</v>
      </c>
      <c r="E96" s="2" t="str">
        <f>+VLOOKUP($B96,'1.3 FY2018'!$B$5:$E$78,4,FALSE)</f>
        <v>Generco Green Projects GmbH</v>
      </c>
    </row>
    <row r="97" spans="2:5" x14ac:dyDescent="0.2">
      <c r="B97" s="2" t="s">
        <v>209</v>
      </c>
      <c r="C97" s="2" t="str">
        <f>+VLOOKUP($B97,'1.3 FY2018'!$B$5:$E$78,2,FALSE)</f>
        <v>R&amp;D expenses</v>
      </c>
      <c r="D97" s="30" t="str">
        <f>+VLOOKUP($B97,'1.3 FY2018'!$B$5:$E$78,3,FALSE)</f>
        <v>2240</v>
      </c>
      <c r="E97" s="2" t="str">
        <f>+VLOOKUP($B97,'1.3 FY2018'!$B$5:$E$78,4,FALSE)</f>
        <v>Greeny Germany GmbH</v>
      </c>
    </row>
    <row r="98" spans="2:5" x14ac:dyDescent="0.2">
      <c r="B98" s="2" t="s">
        <v>210</v>
      </c>
      <c r="C98" s="2" t="str">
        <f>+VLOOKUP($B98,'1.3 FY2018'!$B$5:$E$78,2,FALSE)</f>
        <v>R&amp;D expenses</v>
      </c>
      <c r="D98" s="30">
        <f>+VLOOKUP($B98,'1.3 FY2018'!$B$5:$E$78,3,FALSE)</f>
        <v>17000</v>
      </c>
      <c r="E98" s="2" t="str">
        <f>+VLOOKUP($B98,'1.3 FY2018'!$B$5:$E$78,4,FALSE)</f>
        <v>Generco Risk Management Ltd</v>
      </c>
    </row>
    <row r="99" spans="2:5" x14ac:dyDescent="0.2">
      <c r="B99" s="2" t="s">
        <v>211</v>
      </c>
      <c r="C99" s="2" t="str">
        <f>+VLOOKUP($B99,'1.3 FY2018'!$B$5:$E$78,2,FALSE)</f>
        <v>Other operative currency differences</v>
      </c>
      <c r="D99" s="30" t="str">
        <f>+VLOOKUP($B99,'1.3 FY2018'!$B$5:$E$78,3,FALSE)</f>
        <v>1118</v>
      </c>
      <c r="E99" s="2" t="str">
        <f>+VLOOKUP($B99,'1.3 FY2018'!$B$5:$E$78,4,FALSE)</f>
        <v>Gener Green LLC</v>
      </c>
    </row>
    <row r="100" spans="2:5" x14ac:dyDescent="0.2">
      <c r="B100" s="2" t="s">
        <v>212</v>
      </c>
      <c r="C100" s="2" t="str">
        <f>+VLOOKUP($B100,'1.3 FY2018'!$B$5:$E$78,2,FALSE)</f>
        <v>Other operative currency differences</v>
      </c>
      <c r="D100" s="30">
        <f>+VLOOKUP($B100,'1.3 FY2018'!$B$5:$E$78,3,FALSE)</f>
        <v>111111</v>
      </c>
      <c r="E100" s="2" t="str">
        <f>+VLOOKUP($B100,'1.3 FY2018'!$B$5:$E$78,4,FALSE)</f>
        <v>External</v>
      </c>
    </row>
    <row r="101" spans="2:5" x14ac:dyDescent="0.2">
      <c r="B101" s="2" t="s">
        <v>213</v>
      </c>
      <c r="C101" s="2" t="str">
        <f>+VLOOKUP($B101,'1.3 FY2018'!$B$5:$E$78,2,FALSE)</f>
        <v>Corporate recharges</v>
      </c>
      <c r="D101" s="30">
        <f>+VLOOKUP($B101,'1.3 FY2018'!$B$5:$E$78,3,FALSE)</f>
        <v>1006</v>
      </c>
      <c r="E101" s="2" t="str">
        <f>+VLOOKUP($B101,'1.3 FY2018'!$B$5:$E$78,4,FALSE)</f>
        <v>Generco Mining GmbH</v>
      </c>
    </row>
    <row r="102" spans="2:5" x14ac:dyDescent="0.2">
      <c r="B102" s="2" t="s">
        <v>214</v>
      </c>
      <c r="C102" s="2" t="str">
        <f>+VLOOKUP($B102,'1.3 FY2018'!$B$5:$E$78,2,FALSE)</f>
        <v>Reimbursements+compensation for damages</v>
      </c>
      <c r="D102" s="30">
        <f>+VLOOKUP($B102,'1.3 FY2018'!$B$5:$E$78,3,FALSE)</f>
        <v>111111</v>
      </c>
      <c r="E102" s="2" t="str">
        <f>+VLOOKUP($B102,'1.3 FY2018'!$B$5:$E$78,4,FALSE)</f>
        <v>External</v>
      </c>
    </row>
    <row r="103" spans="2:5" x14ac:dyDescent="0.2">
      <c r="B103" s="2" t="s">
        <v>215</v>
      </c>
      <c r="C103" s="2" t="str">
        <f>+VLOOKUP($B103,'1.3 FY2018'!$B$5:$E$78,2,FALSE)</f>
        <v>Other income</v>
      </c>
      <c r="D103" s="30">
        <f>+VLOOKUP($B103,'1.3 FY2018'!$B$5:$E$78,3,FALSE)</f>
        <v>105</v>
      </c>
      <c r="E103" s="2" t="str">
        <f>+VLOOKUP($B103,'1.3 FY2018'!$B$5:$E$78,4,FALSE)</f>
        <v>Generco Healthcare Ltd</v>
      </c>
    </row>
    <row r="104" spans="2:5" x14ac:dyDescent="0.2">
      <c r="B104" s="2" t="s">
        <v>216</v>
      </c>
      <c r="C104" s="2" t="str">
        <f>+VLOOKUP($B104,'1.3 FY2018'!$B$5:$E$78,2,FALSE)</f>
        <v>Leasings</v>
      </c>
      <c r="D104" s="30">
        <f>+VLOOKUP($B104,'1.3 FY2018'!$B$5:$E$78,3,FALSE)</f>
        <v>105</v>
      </c>
      <c r="E104" s="2" t="str">
        <f>+VLOOKUP($B104,'1.3 FY2018'!$B$5:$E$78,4,FALSE)</f>
        <v>Generco Healthcare Ltd</v>
      </c>
    </row>
    <row r="105" spans="2:5" x14ac:dyDescent="0.2">
      <c r="B105" s="2" t="s">
        <v>217</v>
      </c>
      <c r="C105" s="2" t="str">
        <f>+VLOOKUP($B105,'1.3 FY2018'!$B$5:$E$78,2,FALSE)</f>
        <v>Insurance expenses</v>
      </c>
      <c r="D105" s="30">
        <f>+VLOOKUP($B105,'1.3 FY2018'!$B$5:$E$78,3,FALSE)</f>
        <v>88</v>
      </c>
      <c r="E105" s="2" t="str">
        <f>+VLOOKUP($B105,'1.3 FY2018'!$B$5:$E$78,4,FALSE)</f>
        <v>Generco Ltd</v>
      </c>
    </row>
    <row r="106" spans="2:5" x14ac:dyDescent="0.2">
      <c r="B106" s="2" t="s">
        <v>218</v>
      </c>
      <c r="C106" s="2" t="str">
        <f>+VLOOKUP($B106,'1.3 FY2018'!$B$5:$E$78,2,FALSE)</f>
        <v>Repairs/Maintenance costs</v>
      </c>
      <c r="D106" s="30">
        <f>+VLOOKUP($B106,'1.3 FY2018'!$B$5:$E$78,3,FALSE)</f>
        <v>111111</v>
      </c>
      <c r="E106" s="2" t="str">
        <f>+VLOOKUP($B106,'1.3 FY2018'!$B$5:$E$78,4,FALSE)</f>
        <v>External</v>
      </c>
    </row>
    <row r="107" spans="2:5" x14ac:dyDescent="0.2">
      <c r="B107" s="2" t="s">
        <v>219</v>
      </c>
      <c r="C107" s="2" t="str">
        <f>+VLOOKUP($B107,'1.3 FY2018'!$B$5:$E$78,2,FALSE)</f>
        <v>Impairment of participation</v>
      </c>
      <c r="D107" s="30">
        <f>+VLOOKUP($B107,'1.3 FY2018'!$B$5:$E$78,3,FALSE)</f>
        <v>111101</v>
      </c>
      <c r="E107" s="2" t="str">
        <f>+VLOOKUP($B107,'1.3 FY2018'!$B$5:$E$78,4,FALSE)</f>
        <v>Not assigned</v>
      </c>
    </row>
    <row r="108" spans="2:5" x14ac:dyDescent="0.2">
      <c r="B108" s="2" t="s">
        <v>220</v>
      </c>
      <c r="C108" s="2" t="str">
        <f>+VLOOKUP($B108,'1.3 FY2018'!$B$5:$E$78,2,FALSE)</f>
        <v>Offset segments (tech.)</v>
      </c>
      <c r="D108" s="30">
        <f>+VLOOKUP($B108,'1.3 FY2018'!$B$5:$E$78,3,FALSE)</f>
        <v>111101</v>
      </c>
      <c r="E108" s="2" t="str">
        <f>+VLOOKUP($B108,'1.3 FY2018'!$B$5:$E$78,4,FALSE)</f>
        <v>Not assigned</v>
      </c>
    </row>
    <row r="109" spans="2:5" ht="14.4" x14ac:dyDescent="0.3">
      <c r="B109"/>
    </row>
    <row r="110" spans="2:5" ht="14.4" x14ac:dyDescent="0.3">
      <c r="B110"/>
    </row>
    <row r="111" spans="2:5" ht="14.4" x14ac:dyDescent="0.3">
      <c r="B111"/>
    </row>
    <row r="112" spans="2:5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2021-05-13T16:22:15Z</dcterms:modified>
</cp:coreProperties>
</file>
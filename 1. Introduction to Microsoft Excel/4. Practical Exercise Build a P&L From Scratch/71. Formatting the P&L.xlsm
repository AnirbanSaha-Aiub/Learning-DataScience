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-108" yWindow="-108" windowWidth="23256" windowHeight="13176" firstSheet="7" activeTab="8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8" i="21" l="1"/>
  <c r="E28" i="21"/>
  <c r="C28" i="21"/>
  <c r="E27" i="21"/>
  <c r="D27" i="21"/>
  <c r="C27" i="21"/>
  <c r="E23" i="2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C5" i="21"/>
  <c r="D5" i="21"/>
  <c r="E5" i="21"/>
  <c r="C6" i="21"/>
  <c r="D6" i="21"/>
  <c r="E6" i="21"/>
  <c r="D4" i="21"/>
  <c r="E4" i="21"/>
  <c r="C4" i="21"/>
  <c r="E7" i="21" l="1"/>
  <c r="E9" i="21" s="1"/>
  <c r="E17" i="21" s="1"/>
  <c r="E19" i="21" s="1"/>
  <c r="E22" i="21" s="1"/>
  <c r="E24" i="21" s="1"/>
  <c r="D7" i="21"/>
  <c r="D9" i="21" s="1"/>
  <c r="D17" i="21" s="1"/>
  <c r="D19" i="21" s="1"/>
  <c r="D22" i="21" s="1"/>
  <c r="D24" i="21" s="1"/>
  <c r="C7" i="21"/>
  <c r="C9" i="21" s="1"/>
  <c r="C17" i="21" s="1"/>
  <c r="C19" i="21" s="1"/>
  <c r="C22" i="21" s="1"/>
  <c r="C24" i="21" s="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<sst xmlns="http://schemas.openxmlformats.org/spreadsheetml/2006/main" count="956" uniqueCount="246">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</sst>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8" fillId="2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15"/>
  <sheetViews>
    <sheetView topLeftCell="D1" workbookViewId="0">
      <selection activeCell="J1" sqref="J1:J1048576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8"/>
  <sheetViews>
    <sheetView tabSelected="1" topLeftCell="A7" zoomScale="140" zoomScaleNormal="140" workbookViewId="0">
      <selection activeCell="C11" sqref="C11"/>
    </sheetView>
  </sheetViews>
  <sheetFormatPr defaultRowHeight="11.4" x14ac:dyDescent="0.2"/>
  <cols>
    <col min="1" max="1" width="2" style="33" customWidth="1"/>
    <col min="2" max="2" width="20" style="33" bestFit="1" customWidth="1"/>
    <col min="3" max="3" width="11.88671875" style="33" bestFit="1" customWidth="1"/>
    <col min="4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>
        <f>+SUMIF('2.1 Database'!$J:$J,'2.2 P&amp;L statement'!$B4,'2.1 Database'!F:F)/1000000</f>
        <v>14.500341000000001</v>
      </c>
      <c r="D4" s="38">
        <f>+SUMIF('2.1 Database'!$J:$J,'2.2 P&amp;L statement'!$B4,'2.1 Database'!G:G)/1000000</f>
        <v>16.148295364999999</v>
      </c>
      <c r="E4" s="38">
        <f>+SUMIF('2.1 Database'!$J:$J,'2.2 P&amp;L statement'!$B4,'2.1 Database'!H:H)/1000000</f>
        <v>15.047803019</v>
      </c>
    </row>
    <row r="5" spans="2:5" x14ac:dyDescent="0.2">
      <c r="B5" s="33" t="s">
        <v>66</v>
      </c>
      <c r="C5" s="38">
        <f>+SUMIF('2.1 Database'!$J:$J,'2.2 P&amp;L statement'!$B5,'2.1 Database'!F:F)/1000000</f>
        <v>4.7948561920000001</v>
      </c>
      <c r="D5" s="38">
        <f>+SUMIF('2.1 Database'!$J:$J,'2.2 P&amp;L statement'!$B5,'2.1 Database'!G:G)/1000000</f>
        <v>6.9602176449999993</v>
      </c>
      <c r="E5" s="38">
        <f>+SUMIF('2.1 Database'!$J:$J,'2.2 P&amp;L statement'!$B5,'2.1 Database'!H:H)/1000000</f>
        <v>6.3736175140000002</v>
      </c>
    </row>
    <row r="6" spans="2:5" x14ac:dyDescent="0.2">
      <c r="B6" s="33" t="s">
        <v>229</v>
      </c>
      <c r="C6" s="38">
        <f>+SUMIF('2.1 Database'!$J:$J,'2.2 P&amp;L statement'!$B6,'2.1 Database'!F:F)/1000000</f>
        <v>3.2200542519999997</v>
      </c>
      <c r="D6" s="38">
        <f>+SUMIF('2.1 Database'!$J:$J,'2.2 P&amp;L statement'!$B6,'2.1 Database'!G:G)/1000000</f>
        <v>2.9240919949999999</v>
      </c>
      <c r="E6" s="38">
        <f>+SUMIF('2.1 Database'!$J:$J,'2.2 P&amp;L statement'!$B6,'2.1 Database'!H:H)/1000000</f>
        <v>4.8931777299999997</v>
      </c>
    </row>
    <row r="7" spans="2:5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</row>
    <row r="8" spans="2:5" x14ac:dyDescent="0.2">
      <c r="B8" s="33" t="s">
        <v>104</v>
      </c>
      <c r="C8" s="38">
        <f>+SUMIF('2.1 Database'!$J:$J,'2.2 P&amp;L statement'!$B8,'2.1 Database'!F:F)/1000000</f>
        <v>-4.4289117640000004</v>
      </c>
      <c r="D8" s="38">
        <f>+SUMIF('2.1 Database'!$J:$J,'2.2 P&amp;L statement'!$B8,'2.1 Database'!G:G)/1000000</f>
        <v>-5.4631888250000005</v>
      </c>
      <c r="E8" s="38">
        <f>+SUMIF('2.1 Database'!$J:$J,'2.2 P&amp;L statement'!$B8,'2.1 Database'!H:H)/1000000</f>
        <v>-5.6741520669999996</v>
      </c>
    </row>
    <row r="9" spans="2:5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</row>
    <row r="10" spans="2:5" x14ac:dyDescent="0.2">
      <c r="B10" s="33" t="s">
        <v>227</v>
      </c>
      <c r="C10" s="38">
        <f>+SUMIF('2.1 Database'!$J:$J,'2.2 P&amp;L statement'!$B10,'2.1 Database'!F:F)/1000000</f>
        <v>-3.3966489799999997</v>
      </c>
      <c r="D10" s="38">
        <f>+SUMIF('2.1 Database'!$J:$J,'2.2 P&amp;L statement'!$B10,'2.1 Database'!G:G)/1000000</f>
        <v>-3.7048433449999996</v>
      </c>
      <c r="E10" s="38">
        <f>+SUMIF('2.1 Database'!$J:$J,'2.2 P&amp;L statement'!$B10,'2.1 Database'!H:H)/1000000</f>
        <v>-6.6874830379999999</v>
      </c>
    </row>
    <row r="11" spans="2:5" x14ac:dyDescent="0.2">
      <c r="B11" s="33" t="s">
        <v>228</v>
      </c>
      <c r="C11" s="38">
        <f>+SUMIF('2.1 Database'!$J:$J,'2.2 P&amp;L statement'!$B11,'2.1 Database'!F:F)/1000000</f>
        <v>-6.17073904</v>
      </c>
      <c r="D11" s="38">
        <f>+SUMIF('2.1 Database'!$J:$J,'2.2 P&amp;L statement'!$B11,'2.1 Database'!G:G)/1000000</f>
        <v>-8.0718589449999989</v>
      </c>
      <c r="E11" s="38">
        <f>+SUMIF('2.1 Database'!$J:$J,'2.2 P&amp;L statement'!$B11,'2.1 Database'!H:H)/1000000</f>
        <v>-5.8358881759999992</v>
      </c>
    </row>
    <row r="12" spans="2:5" x14ac:dyDescent="0.2">
      <c r="B12" s="33" t="s">
        <v>230</v>
      </c>
      <c r="C12" s="38">
        <f>+SUMIF('2.1 Database'!$J:$J,'2.2 P&amp;L statement'!$B12,'2.1 Database'!F:F)/1000000</f>
        <v>-1.127445872</v>
      </c>
      <c r="D12" s="38">
        <f>+SUMIF('2.1 Database'!$J:$J,'2.2 P&amp;L statement'!$B12,'2.1 Database'!G:G)/1000000</f>
        <v>-1.0553814750000001</v>
      </c>
      <c r="E12" s="38">
        <f>+SUMIF('2.1 Database'!$J:$J,'2.2 P&amp;L statement'!$B12,'2.1 Database'!H:H)/1000000</f>
        <v>1.596053449</v>
      </c>
    </row>
    <row r="13" spans="2:5" x14ac:dyDescent="0.2">
      <c r="B13" s="33" t="s">
        <v>231</v>
      </c>
      <c r="C13" s="38">
        <f>+SUMIF('2.1 Database'!$J:$J,'2.2 P&amp;L statement'!$B13,'2.1 Database'!F:F)/1000000</f>
        <v>-2.5430882079999995</v>
      </c>
      <c r="D13" s="38">
        <f>+SUMIF('2.1 Database'!$J:$J,'2.2 P&amp;L statement'!$B13,'2.1 Database'!G:G)/1000000</f>
        <v>-1.837786345</v>
      </c>
      <c r="E13" s="38">
        <f>+SUMIF('2.1 Database'!$J:$J,'2.2 P&amp;L statement'!$B13,'2.1 Database'!H:H)/1000000</f>
        <v>-1.9549839309999999</v>
      </c>
    </row>
    <row r="14" spans="2:5" x14ac:dyDescent="0.2">
      <c r="B14" s="33" t="s">
        <v>232</v>
      </c>
      <c r="C14" s="38">
        <f>+SUMIF('2.1 Database'!$J:$J,'2.2 P&amp;L statement'!$B14,'2.1 Database'!F:F)/1000000</f>
        <v>-1.8135250039999999</v>
      </c>
      <c r="D14" s="38">
        <f>+SUMIF('2.1 Database'!$J:$J,'2.2 P&amp;L statement'!$B14,'2.1 Database'!G:G)/1000000</f>
        <v>-2.3932591899999998</v>
      </c>
      <c r="E14" s="38">
        <f>+SUMIF('2.1 Database'!$J:$J,'2.2 P&amp;L statement'!$B14,'2.1 Database'!H:H)/1000000</f>
        <v>-2.5144318869999998</v>
      </c>
    </row>
    <row r="15" spans="2:5" x14ac:dyDescent="0.2">
      <c r="B15" s="33" t="s">
        <v>74</v>
      </c>
      <c r="C15" s="38">
        <f>+SUMIF('2.1 Database'!$J:$J,'2.2 P&amp;L statement'!$B15,'2.1 Database'!F:F)/1000000</f>
        <v>5.7221999999999995E-5</v>
      </c>
      <c r="D15" s="38">
        <f>+SUMIF('2.1 Database'!$J:$J,'2.2 P&amp;L statement'!$B15,'2.1 Database'!G:G)/1000000</f>
        <v>-7.3574899999999995E-3</v>
      </c>
      <c r="E15" s="38">
        <f>+SUMIF('2.1 Database'!$J:$J,'2.2 P&amp;L statement'!$B15,'2.1 Database'!H:H)/1000000</f>
        <v>4.678542799999999E-2</v>
      </c>
    </row>
    <row r="16" spans="2:5" x14ac:dyDescent="0.2">
      <c r="B16" s="33" t="s">
        <v>67</v>
      </c>
      <c r="C16" s="38">
        <f>+SUMIF('2.1 Database'!$J:$J,'2.2 P&amp;L statement'!$B16,'2.1 Database'!F:F)/1000000</f>
        <v>5.2683321979999995</v>
      </c>
      <c r="D16" s="38">
        <f>+SUMIF('2.1 Database'!$J:$J,'2.2 P&amp;L statement'!$B16,'2.1 Database'!G:G)/1000000</f>
        <v>0.74482694999999999</v>
      </c>
      <c r="E16" s="38">
        <f>+SUMIF('2.1 Database'!$J:$J,'2.2 P&amp;L statement'!$B16,'2.1 Database'!H:H)/1000000</f>
        <v>0</v>
      </c>
    </row>
    <row r="17" spans="2:5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</row>
    <row r="18" spans="2:5" x14ac:dyDescent="0.2">
      <c r="B18" s="33" t="s">
        <v>72</v>
      </c>
      <c r="C18" s="38">
        <f>+SUMIF('2.1 Database'!$J:$J,'2.2 P&amp;L statement'!$B18,'2.1 Database'!F:F)/1000000</f>
        <v>-2.045243514</v>
      </c>
      <c r="D18" s="38">
        <f>+SUMIF('2.1 Database'!$J:$J,'2.2 P&amp;L statement'!$B18,'2.1 Database'!G:G)/1000000</f>
        <v>-2.0440058150000002</v>
      </c>
      <c r="E18" s="38">
        <f>+SUMIF('2.1 Database'!$J:$J,'2.2 P&amp;L statement'!$B18,'2.1 Database'!H:H)/1000000</f>
        <v>-1.8883615140000001</v>
      </c>
    </row>
    <row r="19" spans="2:5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</row>
    <row r="20" spans="2:5" x14ac:dyDescent="0.2">
      <c r="B20" s="33" t="s">
        <v>233</v>
      </c>
      <c r="C20" s="38">
        <f>+SUMIF('2.1 Database'!$J:$J,'2.2 P&amp;L statement'!$B20,'2.1 Database'!F:F)/1000000</f>
        <v>-2.8426923660000001</v>
      </c>
      <c r="D20" s="38">
        <f>+SUMIF('2.1 Database'!$J:$J,'2.2 P&amp;L statement'!$B20,'2.1 Database'!G:G)/1000000</f>
        <v>-2.7107469200000001</v>
      </c>
      <c r="E20" s="38">
        <f>+SUMIF('2.1 Database'!$J:$J,'2.2 P&amp;L statement'!$B20,'2.1 Database'!H:H)/1000000</f>
        <v>-2.250707829</v>
      </c>
    </row>
    <row r="21" spans="2:5" x14ac:dyDescent="0.2">
      <c r="B21" s="33" t="s">
        <v>234</v>
      </c>
      <c r="C21" s="38">
        <f>+SUMIF('2.1 Database'!$J:$J,'2.2 P&amp;L statement'!$B21,'2.1 Database'!F:F)/1000000</f>
        <v>-2.2762999999999999E-2</v>
      </c>
      <c r="D21" s="38">
        <f>+SUMIF('2.1 Database'!$J:$J,'2.2 P&amp;L statement'!$B21,'2.1 Database'!G:G)/1000000</f>
        <v>-4.5786198000000002</v>
      </c>
      <c r="E21" s="38">
        <f>+SUMIF('2.1 Database'!$J:$J,'2.2 P&amp;L statement'!$B21,'2.1 Database'!H:H)/1000000</f>
        <v>-7.1731959999999989E-3</v>
      </c>
    </row>
    <row r="22" spans="2:5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</row>
    <row r="23" spans="2:5" x14ac:dyDescent="0.2">
      <c r="B23" s="33" t="s">
        <v>235</v>
      </c>
      <c r="C23" s="38">
        <f>+SUMIF('2.1 Database'!$J:$J,'2.2 P&amp;L statement'!$B23,'2.1 Database'!F:F)/1000000</f>
        <v>-0.48846512199999997</v>
      </c>
      <c r="D23" s="38">
        <f>+SUMIF('2.1 Database'!$J:$J,'2.2 P&amp;L statement'!$B23,'2.1 Database'!G:G)/1000000</f>
        <v>-0.98419196500000017</v>
      </c>
      <c r="E23" s="38">
        <f>+SUMIF('2.1 Database'!$J:$J,'2.2 P&amp;L statement'!$B23,'2.1 Database'!H:H)/1000000</f>
        <v>-0.36496502599999997</v>
      </c>
    </row>
    <row r="24" spans="2:5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</row>
    <row r="27" spans="2:5" x14ac:dyDescent="0.2">
      <c r="B27" s="33" t="s">
        <v>236</v>
      </c>
      <c r="C27" s="33">
        <f>+SUMIF('2.1 Database'!$J:$J,'2.2 P&amp;L statement'!$B27,'2.1 Database'!F:F)/1000000</f>
        <v>-2.9041179939999986</v>
      </c>
      <c r="D27" s="33">
        <f>+SUMIF('2.1 Database'!$J:$J,'2.2 P&amp;L statement'!$B27,'2.1 Database'!G:G)/1000000</f>
        <v>6.0738081600000005</v>
      </c>
      <c r="E27" s="33">
        <f>+SUMIF('2.1 Database'!$J:$J,'2.2 P&amp;L statement'!$B27,'2.1 Database'!H:H)/1000000</f>
        <v>-0.77929047600000001</v>
      </c>
    </row>
    <row r="28" spans="2:5" x14ac:dyDescent="0.2">
      <c r="B28" s="33" t="s">
        <v>245</v>
      </c>
      <c r="C28" s="42">
        <f>(C24+C27)</f>
        <v>3.9968028886505635E-15</v>
      </c>
      <c r="D28" s="42">
        <f t="shared" ref="D28:E28" si="0">(D24+D27)</f>
        <v>1.7763568394002505E-15</v>
      </c>
      <c r="E28" s="42">
        <f t="shared" si="0"/>
        <v>-7.7715611723760958E-16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2021-05-13T19:42:41Z</dcterms:modified>
</cp:coreProperties>
</file>
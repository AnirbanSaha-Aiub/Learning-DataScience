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-108" yWindow="-108" windowWidth="23256" windowHeight="13176" firstSheet="7" activeTab="7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Database'!$B$3:$K$109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10" l="1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4" i="10"/>
  <c r="H94" i="10" l="1"/>
  <c r="G94" i="10"/>
  <c r="F94" i="10"/>
  <c r="H60" i="10"/>
  <c r="E27" i="21" s="1"/>
  <c r="G60" i="10"/>
  <c r="D27" i="21" s="1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E23" i="21" s="1"/>
  <c r="H56" i="10"/>
  <c r="H55" i="10"/>
  <c r="H54" i="10"/>
  <c r="H53" i="10"/>
  <c r="H52" i="10"/>
  <c r="H51" i="10"/>
  <c r="H50" i="10"/>
  <c r="H49" i="10"/>
  <c r="E20" i="21" s="1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D15" i="21" s="1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C13" i="21" s="1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C18" i="21" s="1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27" i="21" l="1"/>
  <c r="E15" i="21"/>
  <c r="D23" i="21"/>
  <c r="E18" i="21"/>
  <c r="E13" i="21"/>
  <c r="E21" i="21"/>
  <c r="C16" i="21"/>
  <c r="C11" i="21"/>
  <c r="D21" i="21"/>
  <c r="D20" i="21"/>
  <c r="C12" i="21"/>
  <c r="C20" i="21"/>
  <c r="C23" i="21"/>
  <c r="D18" i="21"/>
  <c r="D13" i="21"/>
  <c r="E10" i="21"/>
  <c r="D10" i="21"/>
  <c r="E6" i="21"/>
  <c r="E7" i="21" s="1"/>
  <c r="E9" i="21" s="1"/>
  <c r="C10" i="21"/>
  <c r="D6" i="21"/>
  <c r="D7" i="21" s="1"/>
  <c r="D9" i="21" s="1"/>
  <c r="C6" i="21"/>
  <c r="C7" i="21" s="1"/>
  <c r="C9" i="21" s="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7" i="21" l="1"/>
  <c r="C19" i="21" s="1"/>
  <c r="C22" i="21" s="1"/>
  <c r="C24" i="21" s="1"/>
  <c r="C28" i="21" s="1"/>
  <c r="D17" i="21"/>
  <c r="D19" i="21" s="1"/>
  <c r="D22" i="21" s="1"/>
  <c r="D24" i="21" s="1"/>
  <c r="D28" i="21" s="1"/>
  <c r="E17" i="21"/>
  <c r="E19" i="21" s="1"/>
  <c r="E22" i="21" s="1"/>
  <c r="E24" i="21" s="1"/>
  <c r="E28" i="21" s="1"/>
</calcChain>
</file>

<file path=xl/sharedStrings.xml><?xml version="1.0" encoding="utf-8"?>
<sst xmlns="http://schemas.openxmlformats.org/spreadsheetml/2006/main" count="956" uniqueCount="247">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</sst>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5"/>
  <sheetViews>
    <sheetView tabSelected="1" topLeftCell="D1" workbookViewId="0">
      <selection activeCell="G11" sqref="G11:H1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0" width="15.109375" style="2" customWidth="1"/>
    <col min="11" max="16384" width="9.109375" style="2"/>
  </cols>
  <sheetData>
    <row r="1" spans="2:11" ht="15.6" x14ac:dyDescent="0.3">
      <c r="B1" s="3" t="s">
        <v>56</v>
      </c>
    </row>
    <row r="3" spans="2:11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1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  <c r="K4" s="2">
        <f>COUNTIF('2.2 P&amp;L statement'!$B$4:$B$24,'2.1 Database'!J4)</f>
        <v>1</v>
      </c>
    </row>
    <row r="5" spans="2:11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  <c r="K5" s="2">
        <f>COUNTIF('2.2 P&amp;L statement'!$B$4:$B$24,'2.1 Database'!J5)</f>
        <v>1</v>
      </c>
    </row>
    <row r="6" spans="2:11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  <c r="K6" s="2">
        <f>COUNTIF('2.2 P&amp;L statement'!$B$4:$B$24,'2.1 Database'!J6)</f>
        <v>1</v>
      </c>
    </row>
    <row r="7" spans="2:11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  <c r="K7" s="2">
        <f>COUNTIF('2.2 P&amp;L statement'!$B$4:$B$24,'2.1 Database'!J7)</f>
        <v>1</v>
      </c>
    </row>
    <row r="8" spans="2:11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  <c r="K8" s="2">
        <f>COUNTIF('2.2 P&amp;L statement'!$B$4:$B$24,'2.1 Database'!J8)</f>
        <v>1</v>
      </c>
    </row>
    <row r="9" spans="2:11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  <c r="K9" s="2">
        <f>COUNTIF('2.2 P&amp;L statement'!$B$4:$B$24,'2.1 Database'!J9)</f>
        <v>1</v>
      </c>
    </row>
    <row r="10" spans="2:11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  <c r="K10" s="2">
        <f>COUNTIF('2.2 P&amp;L statement'!$B$4:$B$24,'2.1 Database'!J10)</f>
        <v>1</v>
      </c>
    </row>
    <row r="11" spans="2:11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  <c r="K11" s="2">
        <f>COUNTIF('2.2 P&amp;L statement'!$B$4:$B$24,'2.1 Database'!J11)</f>
        <v>1</v>
      </c>
    </row>
    <row r="12" spans="2:11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  <c r="K12" s="2">
        <f>COUNTIF('2.2 P&amp;L statement'!$B$4:$B$24,'2.1 Database'!J12)</f>
        <v>1</v>
      </c>
    </row>
    <row r="13" spans="2:11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  <c r="K13" s="2">
        <f>COUNTIF('2.2 P&amp;L statement'!$B$4:$B$24,'2.1 Database'!J13)</f>
        <v>1</v>
      </c>
    </row>
    <row r="14" spans="2:11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  <c r="K14" s="2">
        <f>COUNTIF('2.2 P&amp;L statement'!$B$4:$B$24,'2.1 Database'!J14)</f>
        <v>1</v>
      </c>
    </row>
    <row r="15" spans="2:11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  <c r="K15" s="2">
        <f>COUNTIF('2.2 P&amp;L statement'!$B$4:$B$24,'2.1 Database'!J15)</f>
        <v>1</v>
      </c>
    </row>
    <row r="16" spans="2:11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  <c r="K16" s="2">
        <f>COUNTIF('2.2 P&amp;L statement'!$B$4:$B$24,'2.1 Database'!J16)</f>
        <v>1</v>
      </c>
    </row>
    <row r="17" spans="2:11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  <c r="K17" s="2">
        <f>COUNTIF('2.2 P&amp;L statement'!$B$4:$B$24,'2.1 Database'!J17)</f>
        <v>1</v>
      </c>
    </row>
    <row r="18" spans="2:11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  <c r="K18" s="2">
        <f>COUNTIF('2.2 P&amp;L statement'!$B$4:$B$24,'2.1 Database'!J18)</f>
        <v>1</v>
      </c>
    </row>
    <row r="19" spans="2:11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  <c r="K19" s="2">
        <f>COUNTIF('2.2 P&amp;L statement'!$B$4:$B$24,'2.1 Database'!J19)</f>
        <v>1</v>
      </c>
    </row>
    <row r="20" spans="2:11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  <c r="K20" s="2">
        <f>COUNTIF('2.2 P&amp;L statement'!$B$4:$B$24,'2.1 Database'!J20)</f>
        <v>1</v>
      </c>
    </row>
    <row r="21" spans="2:11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  <c r="K21" s="2">
        <f>COUNTIF('2.2 P&amp;L statement'!$B$4:$B$24,'2.1 Database'!J21)</f>
        <v>1</v>
      </c>
    </row>
    <row r="22" spans="2:11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  <c r="K22" s="2">
        <f>COUNTIF('2.2 P&amp;L statement'!$B$4:$B$24,'2.1 Database'!J22)</f>
        <v>1</v>
      </c>
    </row>
    <row r="23" spans="2:11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  <c r="K23" s="2">
        <f>COUNTIF('2.2 P&amp;L statement'!$B$4:$B$24,'2.1 Database'!J23)</f>
        <v>1</v>
      </c>
    </row>
    <row r="24" spans="2:11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  <c r="K24" s="2">
        <f>COUNTIF('2.2 P&amp;L statement'!$B$4:$B$24,'2.1 Database'!J24)</f>
        <v>1</v>
      </c>
    </row>
    <row r="25" spans="2:11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  <c r="K25" s="2">
        <f>COUNTIF('2.2 P&amp;L statement'!$B$4:$B$24,'2.1 Database'!J25)</f>
        <v>1</v>
      </c>
    </row>
    <row r="26" spans="2:11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  <c r="K26" s="2">
        <f>COUNTIF('2.2 P&amp;L statement'!$B$4:$B$24,'2.1 Database'!J26)</f>
        <v>1</v>
      </c>
    </row>
    <row r="27" spans="2:11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  <c r="K27" s="2">
        <f>COUNTIF('2.2 P&amp;L statement'!$B$4:$B$24,'2.1 Database'!J27)</f>
        <v>1</v>
      </c>
    </row>
    <row r="28" spans="2:11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  <c r="K28" s="2">
        <f>COUNTIF('2.2 P&amp;L statement'!$B$4:$B$24,'2.1 Database'!J28)</f>
        <v>1</v>
      </c>
    </row>
    <row r="29" spans="2:11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  <c r="K29" s="2">
        <f>COUNTIF('2.2 P&amp;L statement'!$B$4:$B$24,'2.1 Database'!J29)</f>
        <v>1</v>
      </c>
    </row>
    <row r="30" spans="2:11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  <c r="K30" s="2">
        <f>COUNTIF('2.2 P&amp;L statement'!$B$4:$B$24,'2.1 Database'!J30)</f>
        <v>1</v>
      </c>
    </row>
    <row r="31" spans="2:11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  <c r="K31" s="2">
        <f>COUNTIF('2.2 P&amp;L statement'!$B$4:$B$24,'2.1 Database'!J31)</f>
        <v>1</v>
      </c>
    </row>
    <row r="32" spans="2:11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  <c r="K32" s="2">
        <f>COUNTIF('2.2 P&amp;L statement'!$B$4:$B$24,'2.1 Database'!J32)</f>
        <v>1</v>
      </c>
    </row>
    <row r="33" spans="2:11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  <c r="K33" s="2">
        <f>COUNTIF('2.2 P&amp;L statement'!$B$4:$B$24,'2.1 Database'!J33)</f>
        <v>1</v>
      </c>
    </row>
    <row r="34" spans="2:11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  <c r="K34" s="2">
        <f>COUNTIF('2.2 P&amp;L statement'!$B$4:$B$24,'2.1 Database'!J34)</f>
        <v>1</v>
      </c>
    </row>
    <row r="35" spans="2:11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  <c r="K35" s="2">
        <f>COUNTIF('2.2 P&amp;L statement'!$B$4:$B$24,'2.1 Database'!J35)</f>
        <v>1</v>
      </c>
    </row>
    <row r="36" spans="2:11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  <c r="K36" s="2">
        <f>COUNTIF('2.2 P&amp;L statement'!$B$4:$B$24,'2.1 Database'!J36)</f>
        <v>1</v>
      </c>
    </row>
    <row r="37" spans="2:11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  <c r="K37" s="2">
        <f>COUNTIF('2.2 P&amp;L statement'!$B$4:$B$24,'2.1 Database'!J37)</f>
        <v>1</v>
      </c>
    </row>
    <row r="38" spans="2:11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  <c r="K38" s="2">
        <f>COUNTIF('2.2 P&amp;L statement'!$B$4:$B$24,'2.1 Database'!J38)</f>
        <v>1</v>
      </c>
    </row>
    <row r="39" spans="2:11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  <c r="K39" s="2">
        <f>COUNTIF('2.2 P&amp;L statement'!$B$4:$B$24,'2.1 Database'!J39)</f>
        <v>1</v>
      </c>
    </row>
    <row r="40" spans="2:11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  <c r="K40" s="2">
        <f>COUNTIF('2.2 P&amp;L statement'!$B$4:$B$24,'2.1 Database'!J40)</f>
        <v>1</v>
      </c>
    </row>
    <row r="41" spans="2:11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  <c r="K41" s="2">
        <f>COUNTIF('2.2 P&amp;L statement'!$B$4:$B$24,'2.1 Database'!J41)</f>
        <v>1</v>
      </c>
    </row>
    <row r="42" spans="2:11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  <c r="K42" s="2">
        <f>COUNTIF('2.2 P&amp;L statement'!$B$4:$B$24,'2.1 Database'!J42)</f>
        <v>1</v>
      </c>
    </row>
    <row r="43" spans="2:11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  <c r="K43" s="2">
        <f>COUNTIF('2.2 P&amp;L statement'!$B$4:$B$24,'2.1 Database'!J43)</f>
        <v>1</v>
      </c>
    </row>
    <row r="44" spans="2:11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  <c r="K44" s="2">
        <f>COUNTIF('2.2 P&amp;L statement'!$B$4:$B$24,'2.1 Database'!J44)</f>
        <v>1</v>
      </c>
    </row>
    <row r="45" spans="2:11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  <c r="K45" s="2">
        <f>COUNTIF('2.2 P&amp;L statement'!$B$4:$B$24,'2.1 Database'!J45)</f>
        <v>1</v>
      </c>
    </row>
    <row r="46" spans="2:11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  <c r="K46" s="2">
        <f>COUNTIF('2.2 P&amp;L statement'!$B$4:$B$24,'2.1 Database'!J46)</f>
        <v>0</v>
      </c>
    </row>
    <row r="47" spans="2:11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  <c r="K47" s="2">
        <f>COUNTIF('2.2 P&amp;L statement'!$B$4:$B$24,'2.1 Database'!J47)</f>
        <v>0</v>
      </c>
    </row>
    <row r="48" spans="2:11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  <c r="K48" s="2">
        <f>COUNTIF('2.2 P&amp;L statement'!$B$4:$B$24,'2.1 Database'!J48)</f>
        <v>0</v>
      </c>
    </row>
    <row r="49" spans="2:11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  <c r="K49" s="2">
        <f>COUNTIF('2.2 P&amp;L statement'!$B$4:$B$24,'2.1 Database'!J49)</f>
        <v>1</v>
      </c>
    </row>
    <row r="50" spans="2:11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  <c r="K50" s="2">
        <f>COUNTIF('2.2 P&amp;L statement'!$B$4:$B$24,'2.1 Database'!J50)</f>
        <v>1</v>
      </c>
    </row>
    <row r="51" spans="2:11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  <c r="K51" s="2">
        <f>COUNTIF('2.2 P&amp;L statement'!$B$4:$B$24,'2.1 Database'!J51)</f>
        <v>1</v>
      </c>
    </row>
    <row r="52" spans="2:11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  <c r="K52" s="2">
        <f>COUNTIF('2.2 P&amp;L statement'!$B$4:$B$24,'2.1 Database'!J52)</f>
        <v>1</v>
      </c>
    </row>
    <row r="53" spans="2:11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  <c r="K53" s="2">
        <f>COUNTIF('2.2 P&amp;L statement'!$B$4:$B$24,'2.1 Database'!J53)</f>
        <v>1</v>
      </c>
    </row>
    <row r="54" spans="2:11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  <c r="K54" s="2">
        <f>COUNTIF('2.2 P&amp;L statement'!$B$4:$B$24,'2.1 Database'!J54)</f>
        <v>1</v>
      </c>
    </row>
    <row r="55" spans="2:11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  <c r="K55" s="2">
        <f>COUNTIF('2.2 P&amp;L statement'!$B$4:$B$24,'2.1 Database'!J55)</f>
        <v>1</v>
      </c>
    </row>
    <row r="56" spans="2:11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  <c r="K56" s="2">
        <f>COUNTIF('2.2 P&amp;L statement'!$B$4:$B$24,'2.1 Database'!J56)</f>
        <v>1</v>
      </c>
    </row>
    <row r="57" spans="2:11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  <c r="K57" s="2">
        <f>COUNTIF('2.2 P&amp;L statement'!$B$4:$B$24,'2.1 Database'!J57)</f>
        <v>1</v>
      </c>
    </row>
    <row r="58" spans="2:11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  <c r="K58" s="2">
        <f>COUNTIF('2.2 P&amp;L statement'!$B$4:$B$24,'2.1 Database'!J58)</f>
        <v>1</v>
      </c>
    </row>
    <row r="59" spans="2:11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  <c r="K59" s="2">
        <f>COUNTIF('2.2 P&amp;L statement'!$B$4:$B$24,'2.1 Database'!J59)</f>
        <v>1</v>
      </c>
    </row>
    <row r="60" spans="2:11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  <c r="K60" s="2">
        <f>COUNTIF('2.2 P&amp;L statement'!$B$4:$B$24,'2.1 Database'!J60)</f>
        <v>1</v>
      </c>
    </row>
    <row r="61" spans="2:11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  <c r="K61" s="2">
        <f>COUNTIF('2.2 P&amp;L statement'!$B$4:$B$24,'2.1 Database'!J61)</f>
        <v>1</v>
      </c>
    </row>
    <row r="62" spans="2:11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  <c r="K62" s="2">
        <f>COUNTIF('2.2 P&amp;L statement'!$B$4:$B$24,'2.1 Database'!J62)</f>
        <v>1</v>
      </c>
    </row>
    <row r="63" spans="2:11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  <c r="K63" s="2">
        <f>COUNTIF('2.2 P&amp;L statement'!$B$4:$B$24,'2.1 Database'!J63)</f>
        <v>1</v>
      </c>
    </row>
    <row r="64" spans="2:11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  <c r="K64" s="2">
        <f>COUNTIF('2.2 P&amp;L statement'!$B$4:$B$24,'2.1 Database'!J64)</f>
        <v>1</v>
      </c>
    </row>
    <row r="65" spans="2:11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  <c r="K65" s="2">
        <f>COUNTIF('2.2 P&amp;L statement'!$B$4:$B$24,'2.1 Database'!J65)</f>
        <v>1</v>
      </c>
    </row>
    <row r="66" spans="2:11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  <c r="K66" s="2">
        <f>COUNTIF('2.2 P&amp;L statement'!$B$4:$B$24,'2.1 Database'!J66)</f>
        <v>1</v>
      </c>
    </row>
    <row r="67" spans="2:11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  <c r="K67" s="2">
        <f>COUNTIF('2.2 P&amp;L statement'!$B$4:$B$24,'2.1 Database'!J67)</f>
        <v>1</v>
      </c>
    </row>
    <row r="68" spans="2:11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  <c r="K68" s="2">
        <f>COUNTIF('2.2 P&amp;L statement'!$B$4:$B$24,'2.1 Database'!J68)</f>
        <v>1</v>
      </c>
    </row>
    <row r="69" spans="2:11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  <c r="K69" s="2">
        <f>COUNTIF('2.2 P&amp;L statement'!$B$4:$B$24,'2.1 Database'!J69)</f>
        <v>1</v>
      </c>
    </row>
    <row r="70" spans="2:11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  <c r="K70" s="2">
        <f>COUNTIF('2.2 P&amp;L statement'!$B$4:$B$24,'2.1 Database'!J70)</f>
        <v>1</v>
      </c>
    </row>
    <row r="71" spans="2:11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  <c r="K71" s="2">
        <f>COUNTIF('2.2 P&amp;L statement'!$B$4:$B$24,'2.1 Database'!J71)</f>
        <v>1</v>
      </c>
    </row>
    <row r="72" spans="2:11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  <c r="K72" s="2">
        <f>COUNTIF('2.2 P&amp;L statement'!$B$4:$B$24,'2.1 Database'!J72)</f>
        <v>1</v>
      </c>
    </row>
    <row r="73" spans="2:11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  <c r="K73" s="2">
        <f>COUNTIF('2.2 P&amp;L statement'!$B$4:$B$24,'2.1 Database'!J73)</f>
        <v>1</v>
      </c>
    </row>
    <row r="74" spans="2:11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  <c r="K74" s="2">
        <f>COUNTIF('2.2 P&amp;L statement'!$B$4:$B$24,'2.1 Database'!J74)</f>
        <v>1</v>
      </c>
    </row>
    <row r="75" spans="2:11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  <c r="K75" s="2">
        <f>COUNTIF('2.2 P&amp;L statement'!$B$4:$B$24,'2.1 Database'!J75)</f>
        <v>1</v>
      </c>
    </row>
    <row r="76" spans="2:11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  <c r="K76" s="2">
        <f>COUNTIF('2.2 P&amp;L statement'!$B$4:$B$24,'2.1 Database'!J76)</f>
        <v>1</v>
      </c>
    </row>
    <row r="77" spans="2:11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  <c r="K77" s="2">
        <f>COUNTIF('2.2 P&amp;L statement'!$B$4:$B$24,'2.1 Database'!J77)</f>
        <v>1</v>
      </c>
    </row>
    <row r="78" spans="2:11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  <c r="K78" s="2">
        <f>COUNTIF('2.2 P&amp;L statement'!$B$4:$B$24,'2.1 Database'!J78)</f>
        <v>0</v>
      </c>
    </row>
    <row r="79" spans="2:11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  <c r="K79" s="2">
        <f>COUNTIF('2.2 P&amp;L statement'!$B$4:$B$24,'2.1 Database'!J79)</f>
        <v>1</v>
      </c>
    </row>
    <row r="80" spans="2:11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  <c r="K80" s="2">
        <f>COUNTIF('2.2 P&amp;L statement'!$B$4:$B$24,'2.1 Database'!J80)</f>
        <v>1</v>
      </c>
    </row>
    <row r="81" spans="2:11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  <c r="K81" s="2">
        <f>COUNTIF('2.2 P&amp;L statement'!$B$4:$B$24,'2.1 Database'!J81)</f>
        <v>1</v>
      </c>
    </row>
    <row r="82" spans="2:11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  <c r="K82" s="2">
        <f>COUNTIF('2.2 P&amp;L statement'!$B$4:$B$24,'2.1 Database'!J82)</f>
        <v>1</v>
      </c>
    </row>
    <row r="83" spans="2:11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  <c r="K83" s="2">
        <f>COUNTIF('2.2 P&amp;L statement'!$B$4:$B$24,'2.1 Database'!J83)</f>
        <v>1</v>
      </c>
    </row>
    <row r="84" spans="2:11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  <c r="K84" s="2">
        <f>COUNTIF('2.2 P&amp;L statement'!$B$4:$B$24,'2.1 Database'!J84)</f>
        <v>1</v>
      </c>
    </row>
    <row r="85" spans="2:11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  <c r="K85" s="2">
        <f>COUNTIF('2.2 P&amp;L statement'!$B$4:$B$24,'2.1 Database'!J85)</f>
        <v>1</v>
      </c>
    </row>
    <row r="86" spans="2:11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  <c r="K86" s="2">
        <f>COUNTIF('2.2 P&amp;L statement'!$B$4:$B$24,'2.1 Database'!J86)</f>
        <v>1</v>
      </c>
    </row>
    <row r="87" spans="2:11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  <c r="K87" s="2">
        <f>COUNTIF('2.2 P&amp;L statement'!$B$4:$B$24,'2.1 Database'!J87)</f>
        <v>0</v>
      </c>
    </row>
    <row r="88" spans="2:11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  <c r="K88" s="2">
        <f>COUNTIF('2.2 P&amp;L statement'!$B$4:$B$24,'2.1 Database'!J88)</f>
        <v>1</v>
      </c>
    </row>
    <row r="89" spans="2:11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  <c r="K89" s="2">
        <f>COUNTIF('2.2 P&amp;L statement'!$B$4:$B$24,'2.1 Database'!J89)</f>
        <v>1</v>
      </c>
    </row>
    <row r="90" spans="2:11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  <c r="K90" s="2">
        <f>COUNTIF('2.2 P&amp;L statement'!$B$4:$B$24,'2.1 Database'!J90)</f>
        <v>1</v>
      </c>
    </row>
    <row r="91" spans="2:11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  <c r="K91" s="2">
        <f>COUNTIF('2.2 P&amp;L statement'!$B$4:$B$24,'2.1 Database'!J91)</f>
        <v>1</v>
      </c>
    </row>
    <row r="92" spans="2:11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  <c r="K92" s="2">
        <f>COUNTIF('2.2 P&amp;L statement'!$B$4:$B$24,'2.1 Database'!J92)</f>
        <v>1</v>
      </c>
    </row>
    <row r="93" spans="2:11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  <c r="K93" s="2">
        <f>COUNTIF('2.2 P&amp;L statement'!$B$4:$B$24,'2.1 Database'!J93)</f>
        <v>0</v>
      </c>
    </row>
    <row r="94" spans="2:11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  <c r="K94" s="2">
        <f>COUNTIF('2.2 P&amp;L statement'!$B$4:$B$24,'2.1 Database'!J94)</f>
        <v>1</v>
      </c>
    </row>
    <row r="95" spans="2:11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  <c r="K95" s="2">
        <f>COUNTIF('2.2 P&amp;L statement'!$B$4:$B$24,'2.1 Database'!J95)</f>
        <v>1</v>
      </c>
    </row>
    <row r="96" spans="2:11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  <c r="K96" s="2">
        <f>COUNTIF('2.2 P&amp;L statement'!$B$4:$B$24,'2.1 Database'!J96)</f>
        <v>1</v>
      </c>
    </row>
    <row r="97" spans="2:11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  <c r="K97" s="2">
        <f>COUNTIF('2.2 P&amp;L statement'!$B$4:$B$24,'2.1 Database'!J97)</f>
        <v>1</v>
      </c>
    </row>
    <row r="98" spans="2:11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  <c r="K98" s="2">
        <f>COUNTIF('2.2 P&amp;L statement'!$B$4:$B$24,'2.1 Database'!J98)</f>
        <v>1</v>
      </c>
    </row>
    <row r="99" spans="2:11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  <c r="K99" s="2">
        <f>COUNTIF('2.2 P&amp;L statement'!$B$4:$B$24,'2.1 Database'!J99)</f>
        <v>1</v>
      </c>
    </row>
    <row r="100" spans="2:11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  <c r="K100" s="2">
        <f>COUNTIF('2.2 P&amp;L statement'!$B$4:$B$24,'2.1 Database'!J100)</f>
        <v>1</v>
      </c>
    </row>
    <row r="101" spans="2:11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  <c r="K101" s="2">
        <f>COUNTIF('2.2 P&amp;L statement'!$B$4:$B$24,'2.1 Database'!J101)</f>
        <v>1</v>
      </c>
    </row>
    <row r="102" spans="2:11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  <c r="K102" s="2">
        <f>COUNTIF('2.2 P&amp;L statement'!$B$4:$B$24,'2.1 Database'!J102)</f>
        <v>1</v>
      </c>
    </row>
    <row r="103" spans="2:11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  <c r="K103" s="2">
        <f>COUNTIF('2.2 P&amp;L statement'!$B$4:$B$24,'2.1 Database'!J103)</f>
        <v>1</v>
      </c>
    </row>
    <row r="104" spans="2:11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  <c r="K104" s="2">
        <f>COUNTIF('2.2 P&amp;L statement'!$B$4:$B$24,'2.1 Database'!J104)</f>
        <v>1</v>
      </c>
    </row>
    <row r="105" spans="2:11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  <c r="K105" s="2">
        <f>COUNTIF('2.2 P&amp;L statement'!$B$4:$B$24,'2.1 Database'!J105)</f>
        <v>1</v>
      </c>
    </row>
    <row r="106" spans="2:11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  <c r="K106" s="2">
        <f>COUNTIF('2.2 P&amp;L statement'!$B$4:$B$24,'2.1 Database'!J106)</f>
        <v>1</v>
      </c>
    </row>
    <row r="107" spans="2:11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  <c r="K107" s="2">
        <f>COUNTIF('2.2 P&amp;L statement'!$B$4:$B$24,'2.1 Database'!J107)</f>
        <v>0</v>
      </c>
    </row>
    <row r="108" spans="2:11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  <c r="K108" s="2">
        <f>COUNTIF('2.2 P&amp;L statement'!$B$4:$B$24,'2.1 Database'!J108)</f>
        <v>0</v>
      </c>
    </row>
    <row r="109" spans="2:11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1" ht="14.4" x14ac:dyDescent="0.3">
      <c r="B110"/>
    </row>
    <row r="111" spans="2:11" ht="14.4" x14ac:dyDescent="0.3">
      <c r="B111"/>
    </row>
    <row r="112" spans="2:11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autoFilter ref="B3:K109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2"/>
  <sheetViews>
    <sheetView zoomScale="140" zoomScaleNormal="140" workbookViewId="0">
      <selection activeCell="B28" sqref="B28"/>
    </sheetView>
  </sheetViews>
  <sheetFormatPr defaultRowHeight="11.4" x14ac:dyDescent="0.2"/>
  <cols>
    <col min="1" max="1" width="2" style="33" customWidth="1"/>
    <col min="2" max="2" width="20" style="33" bestFit="1" customWidth="1"/>
    <col min="3" max="16384" width="8.88671875" style="33"/>
  </cols>
  <sheetData>
    <row r="1" spans="2:5" ht="15.6" x14ac:dyDescent="0.3">
      <c r="B1" s="34" t="s">
        <v>238</v>
      </c>
    </row>
    <row r="3" spans="2:5" ht="12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</row>
    <row r="4" spans="2:5" x14ac:dyDescent="0.2">
      <c r="B4" s="33" t="s">
        <v>226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</row>
    <row r="5" spans="2:5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</row>
    <row r="6" spans="2:5" x14ac:dyDescent="0.2">
      <c r="B6" s="33" t="s">
        <v>229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</row>
    <row r="7" spans="2:5" ht="12" x14ac:dyDescent="0.25">
      <c r="B7" s="35" t="s">
        <v>239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</row>
    <row r="8" spans="2:5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</row>
    <row r="9" spans="2:5" ht="12" x14ac:dyDescent="0.25">
      <c r="B9" s="35" t="s">
        <v>240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</row>
    <row r="10" spans="2:5" x14ac:dyDescent="0.2">
      <c r="B10" s="33" t="s">
        <v>227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</row>
    <row r="11" spans="2:5" x14ac:dyDescent="0.2">
      <c r="B11" s="33" t="s">
        <v>228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</row>
    <row r="12" spans="2:5" x14ac:dyDescent="0.2">
      <c r="B12" s="33" t="s">
        <v>230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</row>
    <row r="13" spans="2:5" x14ac:dyDescent="0.2">
      <c r="B13" s="33" t="s">
        <v>231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</row>
    <row r="14" spans="2:5" x14ac:dyDescent="0.2">
      <c r="B14" s="33" t="s">
        <v>232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</row>
    <row r="15" spans="2:5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</row>
    <row r="16" spans="2:5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</row>
    <row r="17" spans="2:7" ht="12" x14ac:dyDescent="0.25">
      <c r="B17" s="36" t="s">
        <v>241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</row>
    <row r="18" spans="2:7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</row>
    <row r="19" spans="2:7" ht="12" x14ac:dyDescent="0.25">
      <c r="B19" s="35" t="s">
        <v>242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</row>
    <row r="20" spans="2:7" x14ac:dyDescent="0.2">
      <c r="B20" s="33" t="s">
        <v>233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</row>
    <row r="21" spans="2:7" x14ac:dyDescent="0.2">
      <c r="B21" s="33" t="s">
        <v>234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</row>
    <row r="22" spans="2:7" ht="12" x14ac:dyDescent="0.25">
      <c r="B22" s="35" t="s">
        <v>243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</row>
    <row r="23" spans="2:7" x14ac:dyDescent="0.2">
      <c r="B23" s="33" t="s">
        <v>235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</row>
    <row r="24" spans="2:7" ht="12.6" thickBot="1" x14ac:dyDescent="0.3">
      <c r="B24" s="37" t="s">
        <v>236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</row>
    <row r="26" spans="2:7" x14ac:dyDescent="0.2">
      <c r="B26" s="38"/>
      <c r="C26" s="38"/>
      <c r="D26" s="38"/>
      <c r="E26" s="38"/>
      <c r="F26" s="38"/>
      <c r="G26" s="38"/>
    </row>
    <row r="27" spans="2:7" x14ac:dyDescent="0.2">
      <c r="B27" s="38" t="s">
        <v>245</v>
      </c>
      <c r="C27" s="38">
        <f>SUMIF('2.1 Database'!$J:$J,'2.2 P&amp;L statement'!$B27,'2.1 Database'!F:F)/1000000</f>
        <v>-2.9041179939999986</v>
      </c>
      <c r="D27" s="38">
        <f>SUMIF('2.1 Database'!$J:$J,'2.2 P&amp;L statement'!$B27,'2.1 Database'!G:G)/1000000</f>
        <v>6.0738081600000005</v>
      </c>
      <c r="E27" s="38">
        <f>SUMIF('2.1 Database'!$J:$J,'2.2 P&amp;L statement'!$B27,'2.1 Database'!H:H)/1000000</f>
        <v>-0.77929047600000001</v>
      </c>
      <c r="F27" s="38"/>
      <c r="G27" s="38"/>
    </row>
    <row r="28" spans="2:7" x14ac:dyDescent="0.2">
      <c r="B28" s="38" t="s">
        <v>246</v>
      </c>
      <c r="C28" s="38">
        <f>ROUND(C24+C27,9)</f>
        <v>0</v>
      </c>
      <c r="D28" s="38">
        <f>D24+D27</f>
        <v>0</v>
      </c>
      <c r="E28" s="38">
        <f>E24+E27</f>
        <v>0</v>
      </c>
      <c r="F28" s="38"/>
      <c r="G28" s="38"/>
    </row>
    <row r="29" spans="2:7" x14ac:dyDescent="0.2">
      <c r="B29" s="38"/>
      <c r="C29" s="38"/>
      <c r="D29" s="38"/>
      <c r="E29" s="38"/>
      <c r="F29" s="38"/>
      <c r="G29" s="38"/>
    </row>
    <row r="30" spans="2:7" x14ac:dyDescent="0.2">
      <c r="B30" s="38"/>
      <c r="C30" s="38"/>
      <c r="D30" s="38"/>
      <c r="E30" s="38"/>
      <c r="F30" s="38"/>
      <c r="G30" s="38"/>
    </row>
    <row r="31" spans="2:7" x14ac:dyDescent="0.2">
      <c r="B31" s="38"/>
      <c r="C31" s="38"/>
      <c r="D31" s="38"/>
      <c r="E31" s="38"/>
      <c r="F31" s="38"/>
      <c r="G31" s="38"/>
    </row>
    <row r="32" spans="2:7" x14ac:dyDescent="0.2">
      <c r="C32" s="38"/>
      <c r="D32" s="38"/>
      <c r="E32" s="38"/>
      <c r="F32" s="38"/>
      <c r="G32" s="38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2021-05-13T19:48:37Z</dcterms:modified>
</cp:coreProperties>
</file>
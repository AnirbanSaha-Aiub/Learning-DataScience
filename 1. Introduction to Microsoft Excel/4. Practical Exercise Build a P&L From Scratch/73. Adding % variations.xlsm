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-108" yWindow="-108" windowWidth="23256" windowHeight="13176" firstSheet="6" activeTab="8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9" i="21" l="1"/>
  <c r="D29" i="21"/>
  <c r="C29" i="21"/>
  <c r="E28" i="21"/>
  <c r="D28" i="21"/>
  <c r="C28" i="21"/>
  <c r="E27" i="21"/>
  <c r="D27" i="21"/>
  <c r="C27" i="21"/>
  <c r="G5" i="21"/>
  <c r="H5" i="21"/>
  <c r="G6" i="21"/>
  <c r="H6" i="21"/>
  <c r="G7" i="21"/>
  <c r="H7" i="21"/>
  <c r="G8" i="21"/>
  <c r="H8" i="21"/>
  <c r="G9" i="21"/>
  <c r="H9" i="21"/>
  <c r="G10" i="21"/>
  <c r="H10" i="21"/>
  <c r="G11" i="21"/>
  <c r="H11" i="21"/>
  <c r="G12" i="21"/>
  <c r="H12" i="21"/>
  <c r="G13" i="21"/>
  <c r="H13" i="21"/>
  <c r="G14" i="21"/>
  <c r="H14" i="21"/>
  <c r="G15" i="21"/>
  <c r="H15" i="21"/>
  <c r="G16" i="21"/>
  <c r="H16" i="21"/>
  <c r="G17" i="21"/>
  <c r="H17" i="21"/>
  <c r="G18" i="21"/>
  <c r="H18" i="21"/>
  <c r="G19" i="21"/>
  <c r="H19" i="21"/>
  <c r="G20" i="21"/>
  <c r="H20" i="21"/>
  <c r="G21" i="21"/>
  <c r="H21" i="21"/>
  <c r="G22" i="21"/>
  <c r="H22" i="21"/>
  <c r="G23" i="21"/>
  <c r="H23" i="21"/>
  <c r="G24" i="21"/>
  <c r="H24" i="21"/>
  <c r="H4" i="21"/>
  <c r="G4" i="21"/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6" i="21" l="1"/>
  <c r="C11" i="21"/>
  <c r="C21" i="21"/>
  <c r="E20" i="21"/>
  <c r="E23" i="21"/>
  <c r="C18" i="21"/>
  <c r="C13" i="21"/>
  <c r="E15" i="21"/>
  <c r="D15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D17" i="21"/>
  <c r="D19" i="21" s="1"/>
  <c r="D22" i="21" s="1"/>
  <c r="D24" i="21" s="1"/>
  <c r="E17" i="21"/>
  <c r="E19" i="21" s="1"/>
  <c r="E22" i="21" s="1"/>
  <c r="E24" i="21" s="1"/>
</calcChain>
</file>

<file path=xl/sharedStrings.xml><?xml version="1.0" encoding="utf-8"?>
<sst xmlns="http://schemas.openxmlformats.org/spreadsheetml/2006/main" count="962" uniqueCount="251">
  <si>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</si>
  <si>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</si>
  <si>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</si>
  <si>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</si>
  <si>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</si>
  <si>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</si>
  <si>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</si>
  <si>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</si>
  <si>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</si>
  <si>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</si>
  <si>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</si>
  <si>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</si>
  <si>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</si>
  <si>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</si>
  <si>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</si>
  <si>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</si>
  <si>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</si>
  <si>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</si>
  <si>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</si>
  <si>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</si>
  <si>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</si>
  <si>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</si>
  <si>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</si>
  <si>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</si>
  <si>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</si>
  <si>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</si>
  <si>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</si>
  <si>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</si>
  <si>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</si>
  <si>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</si>
  <si>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</si>
  <si>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</si>
  <si>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</si>
  <si>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</si>
  <si>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</si>
  <si>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</si>
  <si>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</si>
  <si>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</si>
  <si>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</si>
  <si>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</si>
  <si>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</si>
  <si>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</si>
  <si>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</si>
  <si>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</si>
  <si>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</si>
  <si>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</si>
  <si>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</si>
  <si>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</si>
  <si>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</si>
  <si>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</si>
  <si>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</si>
  <si>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</si>
  <si>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</si>
  <si>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</si>
  <si>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</si>
  <si>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</si>
  <si>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</si>
  <si>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</si>
  <si>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</si>
  <si>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</si>
  <si>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</si>
  <si>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</si>
  <si>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</si>
  <si>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</si>
  <si>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</si>
  <si>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</si>
  <si>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</si>
  <si>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</si>
  <si>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</si>
  <si>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</si>
  <si>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</si>
  <si>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</si>
  <si>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</si>
  <si>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</si>
  <si>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</si>
  <si>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</si>
  <si>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</si>
  <si>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</si>
  <si>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</si>
  <si>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</si>
  <si>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</si>
  <si>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</si>
  <si>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</si>
  <si>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</si>
  <si>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</si>
  <si>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</si>
  <si>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</si>
  <si>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</si>
  <si>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</si>
  <si>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</si>
  <si>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</si>
  <si>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</si>
  <si>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</si>
  <si>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</si>
  <si>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</si>
  <si>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</si>
  <si>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</si>
  <si>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</si>
  <si>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</si>
  <si>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</si>
  <si>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</si>
  <si>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</si>
  <si>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</si>
  <si>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</si>
  <si>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</si>
  <si>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</si>
  <si>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</si>
  <si>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</si>
  <si>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</si>
  <si>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</si>
  <si>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</si>
  <si>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</si>
  <si>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</si>
  <si>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</si>
  <si>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</si>
  <si>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</si>
  <si>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</si>
  <si>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</si>
  <si>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</si>
  <si>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</si>
  <si>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</si>
  <si>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</si>
  <si>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</si>
  <si>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</si>
  <si>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</si>
  <si>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</si>
  <si>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</si>
  <si>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</si>
  <si>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</si>
  <si>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</si>
  <si>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</si>
  <si>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</si>
  <si>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</si>
  <si>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</si>
  <si>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</si>
  <si>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</si>
  <si>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</si>
  <si>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</si>
  <si>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</si>
  <si>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</si>
  <si>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</si>
  <si>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</si>
  <si>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</si>
  <si>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</si>
  <si>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</si>
  <si>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</si>
  <si>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</si>
  <si>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</si>
  <si>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</si>
  <si>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</si>
  <si>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</si>
  <si>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</si>
  <si>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</si>
  <si>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</si>
  <si>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</si>
  <si>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</si>
  <si>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</si>
  <si>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</si>
  <si>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</si>
  <si>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</si>
  <si>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</si>
  <si>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</si>
  <si>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</si>
  <si>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</si>
  <si>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</si>
  <si>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</si>
  <si>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</si>
  <si>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</si>
  <si>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</si>
  <si>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</si>
  <si>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</si>
  <si>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</si>
  <si>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</si>
  <si>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</si>
  <si>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</si>
  <si>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</si>
  <si>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</si>
  <si>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</si>
  <si>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</si>
  <si>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</si>
  <si>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</si>
  <si>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</si>
  <si>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</si>
  <si>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</si>
  <si>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</si>
  <si>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</si>
  <si>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</si>
  <si>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</si>
  <si>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</si>
  <si>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</si>
  <si>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</si>
  <si>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</si>
  <si>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</si>
  <si>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</si>
  <si>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</si>
  <si>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</si>
  <si>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</si>
  <si>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</si>
  <si>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</si>
  <si>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</si>
  <si>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</si>
  <si>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</si>
  <si>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</si>
  <si>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</si>
  <si>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</si>
  <si>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</si>
  <si>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</si>
  <si>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</si>
  <si>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</si>
  <si>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</si>
  <si>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</si>
  <si>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</si>
  <si>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</si>
  <si>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</si>
  <si>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</si>
  <si>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</si>
  <si>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</si>
  <si>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</si>
  <si>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</si>
  <si>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</si>
  <si>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</si>
  <si>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</si>
  <si>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</si>
  <si>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</si>
  <si>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</si>
  <si>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</si>
  <si>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</si>
  <si>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</si>
  <si>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</si>
  <si>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</si>
  <si>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</si>
  <si>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</si>
  <si>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</si>
  <si>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</si>
  <si>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</si>
  <si>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</si>
  <si>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</si>
  <si>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</si>
  <si>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</si>
  <si>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</si>
  <si>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</si>
  <si>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</si>
  <si>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</si>
  <si>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</si>
  <si>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</si>
  <si>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var% FY16-FY17</t>
  </si>
  <si>
    <t>var% FY17-FY18</t>
  </si>
  <si>
    <t>KPIs</t>
  </si>
  <si>
    <t>GM%</t>
  </si>
  <si>
    <t>EBITDA%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</si>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</sst>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24" fillId="5" borderId="0" xfId="0" applyFont="1" applyFill="1" applyBorder="1"/>
    <xf numFmtId="166" fontId="24" fillId="5" borderId="0" xfId="0" applyNumberFormat="1" applyFont="1" applyFill="1" applyBorder="1"/>
    <xf numFmtId="9" fontId="24" fillId="5" borderId="0" xfId="4" applyFont="1" applyFill="1" applyBorder="1"/>
    <xf numFmtId="0" fontId="24" fillId="5" borderId="0" xfId="0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15"/>
  <sheetViews>
    <sheetView workbookViewId="0">
      <selection activeCell="F21" sqref="F2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2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K109" s="2" t="s">
        <v>224</v>
      </c>
      <c r="L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tabSelected="1" topLeftCell="A10" zoomScaleNormal="100" workbookViewId="0">
      <selection activeCell="D26" sqref="D26"/>
    </sheetView>
  </sheetViews>
  <sheetFormatPr defaultRowHeight="11.4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238</v>
      </c>
    </row>
    <row r="3" spans="2:8" ht="36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  <c r="G3" s="42" t="s">
        <v>245</v>
      </c>
      <c r="H3" s="42" t="s">
        <v>246</v>
      </c>
    </row>
    <row r="4" spans="2:8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3">
        <f>IF(ISERROR((D4/C4)-1),"n.a.",IF(((D4/C4)-1)&gt;1,"&gt;100.0%",IF(((D4/C4)-1)&lt;-1,"&lt;-100.0%",((D4/C4)-1))))</f>
        <v>0.11364935245315944</v>
      </c>
      <c r="H4" s="43">
        <f>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3">
        <f t="shared" ref="G5:G24" si="0">IF(ISERROR((D5/C5)-1),"n.a.",IF(((D5/C5)-1)&gt;1,"&gt;100.0%",IF(((D5/C5)-1)&lt;-1,"&lt;-100.0%",((D5/C5)-1))))</f>
        <v>0.45160091696030569</v>
      </c>
      <c r="H5" s="43">
        <f t="shared" ref="H5:H24" si="1">IF(ISERROR((E5/D5)-1),"n.a.",IF(((E5/D5)-1)&gt;1,"&gt;100.0%",IF(((E5/D5)-1)&lt;-1,"&lt;-100.0%",((E5/D5)-1))))</f>
        <v>-8.4278992542911935E-2</v>
      </c>
    </row>
    <row r="6" spans="2:8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3">
        <f t="shared" si="0"/>
        <v>-9.1912195832158816E-2</v>
      </c>
      <c r="H6" s="43">
        <f t="shared" si="1"/>
        <v>0.67340074743441836</v>
      </c>
    </row>
    <row r="7" spans="2:8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4">
        <f t="shared" si="0"/>
        <v>0.15622093183140207</v>
      </c>
      <c r="H7" s="44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3">
        <f t="shared" si="0"/>
        <v>0.23352848647991253</v>
      </c>
      <c r="H8" s="43">
        <f t="shared" si="1"/>
        <v>3.861540370609462E-2</v>
      </c>
    </row>
    <row r="9" spans="2:8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4">
        <f t="shared" si="0"/>
        <v>0.13729016174266606</v>
      </c>
      <c r="H9" s="44">
        <f t="shared" si="1"/>
        <v>3.4531858064625887E-3</v>
      </c>
    </row>
    <row r="10" spans="2:8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3">
        <f t="shared" si="0"/>
        <v>9.0734829184498045E-2</v>
      </c>
      <c r="H10" s="43">
        <f t="shared" si="1"/>
        <v>0.80506499607475335</v>
      </c>
    </row>
    <row r="11" spans="2:8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3">
        <f t="shared" si="0"/>
        <v>0.30808625882192531</v>
      </c>
      <c r="H11" s="43">
        <f t="shared" si="1"/>
        <v>-0.27700815688622027</v>
      </c>
    </row>
    <row r="12" spans="2:8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3">
        <f t="shared" si="0"/>
        <v>-6.391827651305626E-2</v>
      </c>
      <c r="H12" s="43" t="str">
        <f t="shared" si="1"/>
        <v>&lt;-100.0%</v>
      </c>
    </row>
    <row r="13" spans="2:8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3">
        <f t="shared" si="0"/>
        <v>-0.27734069969782171</v>
      </c>
      <c r="H13" s="43">
        <f t="shared" si="1"/>
        <v>6.3771061483210545E-2</v>
      </c>
    </row>
    <row r="14" spans="2:8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3">
        <f t="shared" si="0"/>
        <v>0.31967256294857238</v>
      </c>
      <c r="H14" s="43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3" t="str">
        <f t="shared" si="0"/>
        <v>&lt;-100.0%</v>
      </c>
      <c r="H15" s="43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3">
        <f t="shared" si="0"/>
        <v>-0.85862187082986985</v>
      </c>
      <c r="H16" s="43">
        <f t="shared" si="1"/>
        <v>-1</v>
      </c>
    </row>
    <row r="17" spans="2:8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5">
        <f t="shared" si="0"/>
        <v>-0.48890615276653548</v>
      </c>
      <c r="H17" s="45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3">
        <f t="shared" si="0"/>
        <v>-6.0515972378227811E-4</v>
      </c>
      <c r="H18" s="43">
        <f t="shared" si="1"/>
        <v>-7.6146701666795491E-2</v>
      </c>
    </row>
    <row r="19" spans="2:8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4">
        <f t="shared" si="0"/>
        <v>-0.64849201050342775</v>
      </c>
      <c r="H19" s="44">
        <f t="shared" si="1"/>
        <v>0.54660107513782585</v>
      </c>
    </row>
    <row r="20" spans="2:8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3">
        <f t="shared" si="0"/>
        <v>-4.6415661285805099E-2</v>
      </c>
      <c r="H20" s="43">
        <f t="shared" si="1"/>
        <v>-0.16970934748862498</v>
      </c>
    </row>
    <row r="21" spans="2:8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3" t="str">
        <f t="shared" si="0"/>
        <v>&gt;100.0%</v>
      </c>
      <c r="H21" s="43">
        <f t="shared" si="1"/>
        <v>-0.99843332787754069</v>
      </c>
    </row>
    <row r="22" spans="2:8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4" t="str">
        <f t="shared" si="0"/>
        <v>&lt;-100.0%</v>
      </c>
      <c r="H22" s="44" t="str">
        <f t="shared" si="1"/>
        <v>&lt;-100.0%</v>
      </c>
    </row>
    <row r="23" spans="2:8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3" t="str">
        <f t="shared" si="0"/>
        <v>&gt;100.0%</v>
      </c>
      <c r="H23" s="43">
        <f t="shared" si="1"/>
        <v>-0.62917292664546398</v>
      </c>
    </row>
    <row r="24" spans="2:8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6" t="str">
        <f t="shared" si="0"/>
        <v>&lt;-100.0%</v>
      </c>
      <c r="H24" s="46" t="str">
        <f t="shared" si="1"/>
        <v>&lt;-100.0%</v>
      </c>
    </row>
    <row r="26" spans="2:8" x14ac:dyDescent="0.2">
      <c r="B26" s="47" t="s">
        <v>247</v>
      </c>
      <c r="C26" s="48"/>
      <c r="D26" s="48"/>
      <c r="E26" s="48"/>
      <c r="F26" s="38"/>
      <c r="G26" s="38"/>
    </row>
    <row r="27" spans="2:8" x14ac:dyDescent="0.2">
      <c r="B27" s="47" t="s">
        <v>248</v>
      </c>
      <c r="C27" s="49">
        <f>C9/C$7</f>
        <v>0.80329281353949789</v>
      </c>
      <c r="D27" s="49">
        <f t="shared" ref="D27:E27" si="2">D9/D$7</f>
        <v>0.79014052477841912</v>
      </c>
      <c r="E27" s="49">
        <f t="shared" si="2"/>
        <v>0.78437246085651935</v>
      </c>
      <c r="F27" s="38"/>
      <c r="G27" s="38"/>
    </row>
    <row r="28" spans="2:8" x14ac:dyDescent="0.2">
      <c r="B28" s="47" t="s">
        <v>249</v>
      </c>
      <c r="C28" s="49">
        <f>C17/C$7</f>
        <v>0.36878477758296191</v>
      </c>
      <c r="D28" s="49">
        <f t="shared" ref="D28:E28" si="3">D17/D$7</f>
        <v>0.16301696811306118</v>
      </c>
      <c r="E28" s="49">
        <f t="shared" si="3"/>
        <v>0.20104802619916018</v>
      </c>
      <c r="F28" s="38"/>
      <c r="G28" s="38"/>
    </row>
    <row r="29" spans="2:8" x14ac:dyDescent="0.2">
      <c r="B29" s="50" t="s">
        <v>250</v>
      </c>
      <c r="C29" s="49">
        <f>C19/C$7</f>
        <v>0.2779466397506159</v>
      </c>
      <c r="D29" s="49">
        <f t="shared" ref="D29:E29" si="4">D19/D$7</f>
        <v>8.4499823378317393E-2</v>
      </c>
      <c r="E29" s="49">
        <f t="shared" si="4"/>
        <v>0.12928704033394345</v>
      </c>
      <c r="F29" s="38"/>
      <c r="G29" s="38"/>
    </row>
    <row r="30" spans="2:8" x14ac:dyDescent="0.2">
      <c r="B30" s="38"/>
      <c r="C30" s="38"/>
      <c r="D30" s="38"/>
      <c r="E30" s="38"/>
      <c r="F30" s="38"/>
      <c r="G30" s="38"/>
    </row>
    <row r="31" spans="2:8" x14ac:dyDescent="0.2">
      <c r="C31" s="38"/>
      <c r="D31" s="38"/>
      <c r="E31" s="38"/>
      <c r="F31" s="38"/>
      <c r="G31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2021-05-13T19:57:45Z</dcterms:modified>
</cp:coreProperties>
</file>